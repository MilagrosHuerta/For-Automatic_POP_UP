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AHGM\0. APLICACIONES\0. Macros Generales\2. Menú Desplegable\"/>
    </mc:Choice>
  </mc:AlternateContent>
  <bookViews>
    <workbookView xWindow="0" yWindow="0" windowWidth="24000" windowHeight="10920"/>
  </bookViews>
  <sheets>
    <sheet name="TABLAS" sheetId="1" r:id="rId1"/>
    <sheet name="PRIMERA" sheetId="3" r:id="rId2"/>
    <sheet name="SEGUNDA" sheetId="2" r:id="rId3"/>
    <sheet name="TERCERA" sheetId="4" r:id="rId4"/>
    <sheet name="Hoja1" sheetId="5" r:id="rId5"/>
  </sheets>
  <definedNames>
    <definedName name="_xlnm._FilterDatabase" localSheetId="4" hidden="1">Hoja1!$A$1:$C$97</definedName>
    <definedName name="Mayusc_">TABLAS!#REF!</definedName>
    <definedName name="Ninguna">TABLAS!$I$1</definedName>
    <definedName name="No_Desact">TABLAS!$P$1</definedName>
    <definedName name="_xlnm.Print_Titles" localSheetId="0">TABLAS!$1:$2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1" l="1"/>
  <c r="M3" i="1"/>
  <c r="J3" i="1"/>
  <c r="K3" i="1" s="1"/>
  <c r="B3" i="1"/>
  <c r="L3" i="1" l="1"/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J4" i="1" l="1"/>
  <c r="K4" i="1" l="1"/>
  <c r="B4" i="1"/>
  <c r="L4" i="1" l="1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39" i="5"/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K8" i="1" l="1"/>
  <c r="K7" i="1"/>
  <c r="L7" i="1"/>
  <c r="L8" i="1"/>
  <c r="L5" i="1"/>
  <c r="L6" i="1"/>
  <c r="L9" i="1" l="1"/>
  <c r="L12" i="1" l="1"/>
  <c r="L10" i="1"/>
  <c r="L11" i="1"/>
  <c r="L14" i="1"/>
  <c r="K19" i="1"/>
  <c r="L13" i="1" l="1"/>
  <c r="L22" i="1"/>
  <c r="L21" i="1"/>
  <c r="K21" i="1" s="1"/>
  <c r="L20" i="1"/>
  <c r="K20" i="1" s="1"/>
  <c r="L19" i="1"/>
  <c r="L18" i="1"/>
  <c r="L17" i="1"/>
  <c r="L16" i="1"/>
  <c r="L15" i="1"/>
  <c r="K6" i="1" l="1"/>
  <c r="K5" i="1"/>
  <c r="K9" i="1"/>
  <c r="K18" i="1"/>
  <c r="K12" i="1"/>
  <c r="K17" i="1"/>
  <c r="K15" i="1"/>
  <c r="K16" i="1"/>
  <c r="K11" i="1"/>
  <c r="K10" i="1"/>
  <c r="K13" i="1"/>
  <c r="K22" i="1"/>
  <c r="K14" i="1" l="1"/>
</calcChain>
</file>

<file path=xl/sharedStrings.xml><?xml version="1.0" encoding="utf-8"?>
<sst xmlns="http://schemas.openxmlformats.org/spreadsheetml/2006/main" count="655" uniqueCount="280">
  <si>
    <t>Nombre</t>
  </si>
  <si>
    <t>False</t>
  </si>
  <si>
    <t>SEGUNDO</t>
  </si>
  <si>
    <t>N/A</t>
  </si>
  <si>
    <t>3_1</t>
  </si>
  <si>
    <t>3_2</t>
  </si>
  <si>
    <t>3_3</t>
  </si>
  <si>
    <t>Nivel</t>
  </si>
  <si>
    <t>Begin Group</t>
  </si>
  <si>
    <t>On Action</t>
  </si>
  <si>
    <t>N Sub</t>
  </si>
  <si>
    <t>PRIMERA</t>
  </si>
  <si>
    <t>SubMenu 1.2</t>
  </si>
  <si>
    <t>SubMenu 1.1</t>
  </si>
  <si>
    <t>QUINTO 5.1</t>
  </si>
  <si>
    <t>QUINTO 5.2</t>
  </si>
  <si>
    <t>QUINTO 5.3</t>
  </si>
  <si>
    <t>CUARTO 4.0</t>
  </si>
  <si>
    <t>MENU EXCEL</t>
  </si>
  <si>
    <t>Activa_Menu_Excel</t>
  </si>
  <si>
    <t>[Teclas]</t>
  </si>
  <si>
    <t>Teclas</t>
  </si>
  <si>
    <t>&amp;</t>
  </si>
  <si>
    <t>Num N/A</t>
  </si>
  <si>
    <t>True</t>
  </si>
  <si>
    <t>ACTIVA MENU</t>
  </si>
  <si>
    <t>Activa_Menu</t>
  </si>
  <si>
    <t>^+{m}</t>
  </si>
  <si>
    <t>MENU GENERAL</t>
  </si>
  <si>
    <t>+^{p}</t>
  </si>
  <si>
    <t>+^{s}</t>
  </si>
  <si>
    <t>+^{t}</t>
  </si>
  <si>
    <t>IR_PRIMERA</t>
  </si>
  <si>
    <t>IR_SEGUNDA</t>
  </si>
  <si>
    <t>IR_TERCERA</t>
  </si>
  <si>
    <t>+^{i}</t>
  </si>
  <si>
    <t>SEGUNDA</t>
  </si>
  <si>
    <t>TERCERA</t>
  </si>
  <si>
    <t>IR_INICIO</t>
  </si>
  <si>
    <t>NINGUNA</t>
  </si>
  <si>
    <t>CommandBars</t>
  </si>
  <si>
    <t>Cell</t>
  </si>
  <si>
    <t>Para cada celda</t>
  </si>
  <si>
    <t>Column</t>
  </si>
  <si>
    <t>Para cada Columna</t>
  </si>
  <si>
    <t>Row</t>
  </si>
  <si>
    <t>Para cada Fila</t>
  </si>
  <si>
    <t>Ply</t>
  </si>
  <si>
    <t>Para cada Pestaña</t>
  </si>
  <si>
    <t>Sheet</t>
  </si>
  <si>
    <t>Para cada Hoja</t>
  </si>
  <si>
    <t>Worksheet Menu Bar</t>
  </si>
  <si>
    <t>Para cada Barra Menú</t>
  </si>
  <si>
    <t>Descripción</t>
  </si>
  <si>
    <t>Activa / Desactiva</t>
  </si>
  <si>
    <t>%{F11}</t>
  </si>
  <si>
    <t>ESTA ES LA HOJA CON NOMBRE "PRIMERA"</t>
  </si>
  <si>
    <t>ESTA ES LA HOJA CON NOMBRE "SEGUNDA"</t>
  </si>
  <si>
    <t>ESTA ES LA HOJA CON NOMBRE "TERCERA"</t>
  </si>
  <si>
    <t>{Esc}</t>
  </si>
  <si>
    <t>Muestra el cuadro diálogo imprimir</t>
  </si>
  <si>
    <t>Muestra el administrador de nombres</t>
  </si>
  <si>
    <t>Muestra Cuadro diálogo Crear Nombres</t>
  </si>
  <si>
    <t>Pegar Nombre Definido</t>
  </si>
  <si>
    <t>Muestra cuadro diálogo MACRO</t>
  </si>
  <si>
    <t>Muestra cuadro panel seleccionar OBJETOS</t>
  </si>
  <si>
    <t>Activa la barra de Menú</t>
  </si>
  <si>
    <t>Muestra menú desplegable Click Derecho</t>
  </si>
  <si>
    <t>Abre editor VBA</t>
  </si>
  <si>
    <t>Inserta hoja de Macros EXCEL</t>
  </si>
  <si>
    <t>Muestra cuadro diálogo IMPRIMIR</t>
  </si>
  <si>
    <t>Muestra Cuadro IMPRIMIR</t>
  </si>
  <si>
    <t>^{F2}</t>
  </si>
  <si>
    <t>^{F3}</t>
  </si>
  <si>
    <t>^+{F3}</t>
  </si>
  <si>
    <t>{F3}</t>
  </si>
  <si>
    <t>{F5}</t>
  </si>
  <si>
    <t>%{F8}</t>
  </si>
  <si>
    <t>%{F10}</t>
  </si>
  <si>
    <t>{F10}</t>
  </si>
  <si>
    <t>+{F10}</t>
  </si>
  <si>
    <t>^{F11}</t>
  </si>
  <si>
    <t>^+{F12}</t>
  </si>
  <si>
    <t>^{p}</t>
  </si>
  <si>
    <t>ACTIVAR MENU</t>
  </si>
  <si>
    <t>EXPANDIR BARRA FÓRMULAS</t>
  </si>
  <si>
    <t>ABRIR MENÚ DESPLEGABLE</t>
  </si>
  <si>
    <t>CELDA SIGUIENTE</t>
  </si>
  <si>
    <t>CELDA ANTERIOR</t>
  </si>
  <si>
    <t>TIPO DE PREGUNTA</t>
  </si>
  <si>
    <t>SELECCIONAR TIPO DE PREGUNTA</t>
  </si>
  <si>
    <t>^{t}</t>
  </si>
  <si>
    <t>%{m}</t>
  </si>
  <si>
    <t>^+{F10}</t>
  </si>
  <si>
    <t>^+{u}</t>
  </si>
  <si>
    <t>%{DOWN}</t>
  </si>
  <si>
    <t>{TAB}</t>
  </si>
  <si>
    <t>+{TAB}</t>
  </si>
  <si>
    <t>%{t}</t>
  </si>
  <si>
    <t>%{LEFT}</t>
  </si>
  <si>
    <t>^{F1}</t>
  </si>
  <si>
    <t>^{s}</t>
  </si>
  <si>
    <t>%{F4}</t>
  </si>
  <si>
    <t>^{c}</t>
  </si>
  <si>
    <t>^{v}</t>
  </si>
  <si>
    <t>^+{f}</t>
  </si>
  <si>
    <t>^{L}</t>
  </si>
  <si>
    <t>^{k}</t>
  </si>
  <si>
    <t>^{u}</t>
  </si>
  <si>
    <t>^{n}</t>
  </si>
  <si>
    <t>^{r}</t>
  </si>
  <si>
    <t>^{a}</t>
  </si>
  <si>
    <t>^{i}</t>
  </si>
  <si>
    <t>^{j}</t>
  </si>
  <si>
    <t>%^{v}</t>
  </si>
  <si>
    <t>^+{l}</t>
  </si>
  <si>
    <t>^+{o}</t>
  </si>
  <si>
    <t>^{x}</t>
  </si>
  <si>
    <t>Tecla ESCAPE</t>
  </si>
  <si>
    <t>Inserta un gráfico en la hoja actual</t>
  </si>
  <si>
    <t>%{F1}</t>
  </si>
  <si>
    <t>Muestra el diálogo de "Guardar como"</t>
  </si>
  <si>
    <t>%{F2}</t>
  </si>
  <si>
    <t>Activar formulario de datos para las hojas DATOS</t>
  </si>
  <si>
    <t>%^{d}</t>
  </si>
  <si>
    <t>Graba_Archivo</t>
  </si>
  <si>
    <t>Guarda_Cierra_Archivo</t>
  </si>
  <si>
    <t>CambiarCtrl_X_Ctrl_C</t>
  </si>
  <si>
    <t>Cambiar_Ctrl_V</t>
  </si>
  <si>
    <t>Atajos_Teclado</t>
  </si>
  <si>
    <t>OTROS ATAJOS DE TECLADO</t>
  </si>
  <si>
    <t>MENÚ PRIMERO</t>
  </si>
  <si>
    <t>MENÚ SEGUNDO</t>
  </si>
  <si>
    <t>MENÚ TERCERO</t>
  </si>
  <si>
    <t>MENÚ CUARTO</t>
  </si>
  <si>
    <t>MENÚ QUINTO</t>
  </si>
  <si>
    <t>MENÚ IR A…</t>
  </si>
  <si>
    <t xml:space="preserve">CambiarCtrl_X_Ctrl_C    </t>
  </si>
  <si>
    <t>Muestra el Cuadro Crear TABLA</t>
  </si>
  <si>
    <t>NOMBRE HOJA</t>
  </si>
  <si>
    <t>Barra Formulas</t>
  </si>
  <si>
    <t>TABLAS</t>
  </si>
  <si>
    <t>NO_DESACTIVAR</t>
  </si>
  <si>
    <t>GUARDAR</t>
  </si>
  <si>
    <t>CERRAR</t>
  </si>
  <si>
    <t>COPIAR</t>
  </si>
  <si>
    <t>PEGAR</t>
  </si>
  <si>
    <t>IR A INICIO</t>
  </si>
  <si>
    <t>IR A PRIMERA</t>
  </si>
  <si>
    <t>IR A SEGUNDA</t>
  </si>
  <si>
    <t>IR A TERCERA</t>
  </si>
  <si>
    <t>Ribbon</t>
  </si>
  <si>
    <t>B.D. Vertical</t>
  </si>
  <si>
    <t>Cierra Excel</t>
  </si>
  <si>
    <t>Copiar valores</t>
  </si>
  <si>
    <t>Selecciona las celdas con comentarios</t>
  </si>
  <si>
    <t>^{e}</t>
  </si>
  <si>
    <t>Selecciona Rango actual u hoja completa</t>
  </si>
  <si>
    <t>Copia el valor y formato de la celda superior</t>
  </si>
  <si>
    <t>Copia el valor y formato de la celda izquierda</t>
  </si>
  <si>
    <t>^{d}</t>
  </si>
  <si>
    <t>Modo edición para la celda activa</t>
  </si>
  <si>
    <t>{F2}</t>
  </si>
  <si>
    <t>Muestra cuadro diálogo "Ir A"</t>
  </si>
  <si>
    <t>{F11}</t>
  </si>
  <si>
    <t>Crea una hoja de gráfico con los datos seleccionados</t>
  </si>
  <si>
    <t>Muestra cuadro diálogo "Guardar como"</t>
  </si>
  <si>
    <t>{F12}</t>
  </si>
  <si>
    <t>Muestra cuadro diálogo ABRIR</t>
  </si>
  <si>
    <t>Muestra cuadro diálogo BUSCAR</t>
  </si>
  <si>
    <t>^{b}</t>
  </si>
  <si>
    <t>Guarda el libro de trabajo</t>
  </si>
  <si>
    <t>^{g}</t>
  </si>
  <si>
    <t>Muestra el cuadro diálogo REEMPLAZAR</t>
  </si>
  <si>
    <t>Aplica formato negrita al texto seleccionado</t>
  </si>
  <si>
    <t>Cierra el libro de trabajo</t>
  </si>
  <si>
    <t>Subrraya el texto seleccionado</t>
  </si>
  <si>
    <t>Nuevo libro de trabajo</t>
  </si>
  <si>
    <t>Pega el contenido del portapapeles</t>
  </si>
  <si>
    <t>Corta las celdas seleccionadas</t>
  </si>
  <si>
    <t>^{y}</t>
  </si>
  <si>
    <t>^{z}</t>
  </si>
  <si>
    <t>Rehace la última acción deshecha</t>
  </si>
  <si>
    <t>Deshace la última acción</t>
  </si>
  <si>
    <t>^{1}</t>
  </si>
  <si>
    <t>^{2}</t>
  </si>
  <si>
    <t>^{3}</t>
  </si>
  <si>
    <t>^{4}</t>
  </si>
  <si>
    <t>^{5}</t>
  </si>
  <si>
    <t>^{6}</t>
  </si>
  <si>
    <t>^{8}</t>
  </si>
  <si>
    <t>^{9}</t>
  </si>
  <si>
    <t>^{0}</t>
  </si>
  <si>
    <t>Muestra el cuadro diálogo "Formato CELDAS"</t>
  </si>
  <si>
    <t>Aplica formato cursiva al texto seleccionado</t>
  </si>
  <si>
    <t>Aplica efecto de tachado al texto seleccionado</t>
  </si>
  <si>
    <t>Oculta o muestra los objetos de la hoja</t>
  </si>
  <si>
    <t>Muestra los símbolos de esquema de la hoja</t>
  </si>
  <si>
    <t>Oculta las filas seleccionadas</t>
  </si>
  <si>
    <t>Oculta las columnas seleccionadas</t>
  </si>
  <si>
    <t>^{!}</t>
  </si>
  <si>
    <t>Aplica formato número con dos decimales</t>
  </si>
  <si>
    <t>Aplica formato moneda con dos decimales</t>
  </si>
  <si>
    <t>^{$}</t>
  </si>
  <si>
    <t>Aplica formato % sin decimales</t>
  </si>
  <si>
    <t>^{%}</t>
  </si>
  <si>
    <t>^{&amp;}</t>
  </si>
  <si>
    <t>Aplica un borde a la celda</t>
  </si>
  <si>
    <t>Aplica el formato de notación científica</t>
  </si>
  <si>
    <t>^{/}</t>
  </si>
  <si>
    <t>Muestra filas ocultas dentro del rango seleccionado</t>
  </si>
  <si>
    <t>^{(}</t>
  </si>
  <si>
    <t>^{)}</t>
  </si>
  <si>
    <t>Muestra columnas ocultas dentro del rango seleccionado</t>
  </si>
  <si>
    <t>Remueve los bordes de las celdas</t>
  </si>
  <si>
    <t>^{_}</t>
  </si>
  <si>
    <t>Muestra el cuadro diálogo "Eliminar celdas" o elimina Filas/Columnas</t>
  </si>
  <si>
    <t>^{-}</t>
  </si>
  <si>
    <t>Muestra el cuadro diálogo "Insertar celdas" o Inserta Filas/Columnas</t>
  </si>
  <si>
    <t>^{+}</t>
  </si>
  <si>
    <t>Oculta o muestra la cinta de opciones</t>
  </si>
  <si>
    <t>Cierra ventana del libro actual</t>
  </si>
  <si>
    <t>^{F4}</t>
  </si>
  <si>
    <t>^{F5}</t>
  </si>
  <si>
    <t>Restaura el tamaño de la ventana del libro actual</t>
  </si>
  <si>
    <t>Moverse al libro abierto siguiente</t>
  </si>
  <si>
    <t>^{F6}</t>
  </si>
  <si>
    <t>^{F7}</t>
  </si>
  <si>
    <t>Permite mover la ventana del libro cuando la ventana no está maximizada</t>
  </si>
  <si>
    <t>Permite cambiar el tamaño de la ventana del libro cuando la ventana no está maximizada</t>
  </si>
  <si>
    <t>^{F8}</t>
  </si>
  <si>
    <t>Minimiza la ventana del libro actual</t>
  </si>
  <si>
    <t>^{F9}</t>
  </si>
  <si>
    <t>Maximiza la ventana del libro minimizado</t>
  </si>
  <si>
    <t>^{F10}</t>
  </si>
  <si>
    <t>^{F12}</t>
  </si>
  <si>
    <t>Muestra el cuado diálogo ABRIR</t>
  </si>
  <si>
    <t>+{F2}</t>
  </si>
  <si>
    <t>Agrega o edita un comenario de celda</t>
  </si>
  <si>
    <t>+{F3}</t>
  </si>
  <si>
    <t>Muestra el cuado diálogo "Insertar FUNCIÓN"</t>
  </si>
  <si>
    <t>Ejecuta el comando "Buscar siguiente" a los términos de buscqueda</t>
  </si>
  <si>
    <t>+{F4}</t>
  </si>
  <si>
    <t>Muestra el cuadro diálogo "Buscar"</t>
  </si>
  <si>
    <t>+{F5}</t>
  </si>
  <si>
    <t>+{F6}</t>
  </si>
  <si>
    <t>Cambia le foco entre la hoja, la cinta de opciones, la barra de estado y la cinta de tareas</t>
  </si>
  <si>
    <t>Muestra el panel de sinónimos</t>
  </si>
  <si>
    <t>+{F7}</t>
  </si>
  <si>
    <t>Permite agregar otro rango de celdas a la selección</t>
  </si>
  <si>
    <t>+{F8}</t>
  </si>
  <si>
    <t>Calcula las fórmulas de la hoja actual</t>
  </si>
  <si>
    <t>+{F9}</t>
  </si>
  <si>
    <t>Inserta una hoja nueva</t>
  </si>
  <si>
    <t>+{F11}</t>
  </si>
  <si>
    <t>Muestra el cuadro diálogo "Guardar como"</t>
  </si>
  <si>
    <t>+{F12}</t>
  </si>
  <si>
    <t>Abre el menú de control de la ventana de Excel</t>
  </si>
  <si>
    <t>%{SPACE}</t>
  </si>
  <si>
    <t>%{'}</t>
  </si>
  <si>
    <t>Muestra el cuadro diálogo "Estilo"</t>
  </si>
  <si>
    <t>Moverse al libro abierto anterior</t>
  </si>
  <si>
    <t>^+{F6}</t>
  </si>
  <si>
    <t>Muestra la pestaña Fuente del cuadro FORMATO CELDA</t>
  </si>
  <si>
    <t>Activa o desactiva los filtros del rango</t>
  </si>
  <si>
    <t>Muestra el cuadro diálogo Pegado Especial</t>
  </si>
  <si>
    <t>%^{RIGHT}</t>
  </si>
  <si>
    <t>%^{LEFT}</t>
  </si>
  <si>
    <t>Se mueve hacia la derecha en un rango de celdas no adyacente de un rengo seleccionado</t>
  </si>
  <si>
    <t>Se mueve hacia la izquierda en un rango de celdas no adyacente de un rengo seleccionado</t>
  </si>
  <si>
    <t>HOJA NO MUESTRA</t>
  </si>
  <si>
    <t>TABLA MENÚ DESPLEGABLE</t>
  </si>
  <si>
    <t>TABLA ATAJOS TECLADO</t>
  </si>
  <si>
    <t>Hoja1</t>
  </si>
  <si>
    <t>B.D. Horizontal</t>
  </si>
  <si>
    <t>Encabezados</t>
  </si>
  <si>
    <t>TABLA COMANDOS</t>
  </si>
  <si>
    <t>Face Id</t>
  </si>
  <si>
    <t>Sub Nivel</t>
  </si>
  <si>
    <t>TABLA MOSTRAR EN PANTALLA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</si>
</sst>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0" borderId="0" xfId="0" quotePrefix="1" applyFont="1" applyAlignment="1">
      <alignment vertical="center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vertical="center"/>
      <protection locked="0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/>
    <xf numFmtId="0" fontId="7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9" fillId="0" borderId="0" xfId="0" applyFont="1"/>
    <xf numFmtId="0" fontId="8" fillId="0" borderId="2" xfId="0" applyFont="1" applyBorder="1" applyAlignment="1">
      <alignment horizontal="center" vertical="center" wrapText="1"/>
    </xf>
    <xf numFmtId="0" fontId="0" fillId="0" borderId="0" xfId="0" applyFont="1"/>
    <xf numFmtId="0" fontId="7" fillId="0" borderId="0" xfId="0" applyFont="1" applyAlignment="1">
      <alignment vertical="center" wrapText="1"/>
    </xf>
    <xf numFmtId="0" fontId="0" fillId="0" borderId="0" xfId="0" applyBorder="1"/>
    <xf numFmtId="0" fontId="0" fillId="0" borderId="0" xfId="0" quotePrefix="1"/>
    <xf numFmtId="0" fontId="10" fillId="0" borderId="0" xfId="0" quotePrefix="1" applyFont="1"/>
    <xf numFmtId="0" fontId="0" fillId="0" borderId="0" xfId="0" quotePrefix="1" applyFont="1"/>
    <xf numFmtId="0" fontId="4" fillId="0" borderId="0" xfId="0" quotePrefix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1" fillId="0" borderId="0" xfId="0" applyFont="1" applyAlignment="1">
      <alignment horizontal="left"/>
    </xf>
    <xf numFmtId="0" fontId="1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vertical="center" textRotation="0" wrapText="0" indent="0" justifyLastLine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theme="8"/>
        </left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vertical="center" textRotation="0" wrapText="0" indent="0" justifyLastLine="0" readingOrder="0"/>
      <border diagonalUp="0" diagonalDown="0">
        <left style="medium">
          <color theme="8"/>
        </left>
        <right/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1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readingOrder="0"/>
      <protection locked="0" hidden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8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theme="8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readingOrder="0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668734</xdr:colOff>
      <xdr:row>0</xdr:row>
      <xdr:rowOff>34060</xdr:rowOff>
    </xdr:from>
    <xdr:to>
      <xdr:col>3</xdr:col>
      <xdr:colOff>963149</xdr:colOff>
      <xdr:row>0</xdr:row>
      <xdr:rowOff>329712</xdr:rowOff>
    </xdr:to>
    <xdr:pic macro="[0]!hj_Tablas.F_T_Menu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8176" y="34060"/>
          <a:ext cx="294415" cy="295652"/>
        </a:xfrm>
        <a:prstGeom prst="rect">
          <a:avLst/>
        </a:prstGeom>
        <a:effectLst>
          <a:softEdge rad="25400"/>
        </a:effectLst>
        <a:scene3d>
          <a:camera prst="orthographicFront"/>
          <a:lightRig rig="threePt" dir="t"/>
        </a:scene3d>
        <a:sp3d>
          <a:bevelT w="38100" h="38100"/>
        </a:sp3d>
      </xdr:spPr>
    </xdr:pic>
    <xdr:clientData/>
  </xdr:twoCellAnchor>
</xdr:wsDr>
</file>

<file path=xl/tables/table1.xml><?xml version="1.0" encoding="utf-8"?>
<table xmlns="http://schemas.openxmlformats.org/spreadsheetml/2006/main" id="1" name="T_Menu" displayName="T_Menu" ref="B2:M22" headerRowDxfId="41" dataDxfId="40">
  <autoFilter ref="B2:M22"/>
  <tableColumns count="12">
    <tableColumn id="2" name="N Sub" dataDxfId="39" totalsRowDxfId="38">
      <calculatedColumnFormula>IF(T_Menu[[#This Row],[Nivel]]="C"&amp;ROW()-1,0,COUNTIF(T_Menu[Nivel],T_Menu[[#This Row],[Nivel]]))</calculatedColumnFormula>
    </tableColumn>
    <tableColumn id="1" name="Nivel" dataDxfId="37" totalsRowDxfId="36"/>
    <tableColumn id="3" name="Sub Nivel" dataDxfId="35" totalsRowDxfId="34"/>
    <tableColumn id="4" name="On Action" dataDxfId="33"/>
    <tableColumn id="5" name="Face Id" dataDxfId="32" totalsRowDxfId="31"/>
    <tableColumn id="6" name="Begin Group" dataDxfId="30" totalsRowDxfId="29"/>
    <tableColumn id="10" name="Teclas" dataDxfId="28" totalsRowDxfId="27"/>
    <tableColumn id="11" name="HOJA NO MUESTRA" dataDxfId="26" totalsRowDxfId="25"/>
    <tableColumn id="7" name="N/A" dataDxfId="24" totalsRowDxfId="23">
      <calculatedColumnFormula>IF(T_Menu[[#This Row],[HOJA NO MUESTRA]]=Ninguna,"N/A",
IF(IFERROR(SEARCH(MID(CELL("nombrearchivo"),FIND("]",CELL("nombrearchivo"),1)+1,100),T_Menu[[#This Row],[HOJA NO MUESTRA]],1),0)&gt;0,"N/A",""))</calculatedColumnFormula>
    </tableColumn>
    <tableColumn id="12" name="Num N/A" dataDxfId="22" totalsRowDxfId="21">
      <calculatedColumnFormula>IF(T_Menu[[#This Row],[N/A]]="",,COUNTIF(T_Menu[&amp;],T_Menu[[#This Row],[&amp;]]))</calculatedColumnFormula>
    </tableColumn>
    <tableColumn id="13" name="&amp;" dataDxfId="20" totalsRowDxfId="19">
      <calculatedColumnFormula>T_Menu[[#This Row],[Nivel]]&amp;T_Menu[[#This Row],[N/A]]</calculatedColumnFormula>
    </tableColumn>
    <tableColumn id="14" name="[Teclas]" dataDxfId="18" totalsRowDxfId="17">
      <calculatedColumnFormula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_Comandos" displayName="T_Comandos" ref="T2:V8" headerRowDxfId="16" dataDxfId="15">
  <autoFilter ref="T2:V8">
    <filterColumn colId="0" hiddenButton="1"/>
    <filterColumn colId="1" hiddenButton="1"/>
    <filterColumn colId="2" hiddenButton="1"/>
  </autoFilter>
  <tableColumns count="3">
    <tableColumn id="1" name="CommandBars" totalsRowFunction="custom" dataDxfId="14" totalsRowDxfId="13">
      <totalsRowFormula>COUNTA(T_Comandos[CommandBars])</totalsRowFormula>
    </tableColumn>
    <tableColumn id="2" name="Descripción" dataDxfId="12"/>
    <tableColumn id="3" name="Activa / Desactiva" dataDxfId="11" totalsRow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_Pantalla" displayName="T_Pantalla" ref="X2:AC7" totalsRowShown="0" headerRowDxfId="9">
  <autoFilter ref="X2:AC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NOMBRE HOJA"/>
    <tableColumn id="5" name="Ribbon" dataDxfId="8"/>
    <tableColumn id="3" name="Barra Formulas" dataDxfId="7"/>
    <tableColumn id="2" name="B.D. Vertical" dataDxfId="6"/>
    <tableColumn id="4" name="B.D. Horizontal" dataDxfId="5"/>
    <tableColumn id="6" name="Encabezados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_Atajos" displayName="T_Atajos" ref="O2:R100" totalsRowShown="0" headerRowDxfId="3">
  <autoFilter ref="O2:R100"/>
  <tableColumns count="4">
    <tableColumn id="3" name="Nombre"/>
    <tableColumn id="4" name="On Action"/>
    <tableColumn id="7" name="Teclas"/>
    <tableColumn id="12" name="[Teclas]" dataDxfId="2">
      <calculatedColumnFormula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C97" totalsRowShown="0">
  <autoFilter ref="A1:C97"/>
  <tableColumns count="3">
    <tableColumn id="3" name="Nombre"/>
    <tableColumn id="7" name="Teclas"/>
    <tableColumn id="12" name="[Teclas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_Tablas">
    <pageSetUpPr fitToPage="1"/>
  </sheetPr>
  <dimension ref="A1:AC100"/>
  <sheetViews>
    <sheetView showGridLines="0" showRowColHeaders="0" tabSelected="1" zoomScale="130" zoomScaleNormal="130" workbookViewId="0">
      <pane ySplit="2" topLeftCell="A3" activePane="bottomLeft" state="frozen"/>
      <selection pane="bottomLeft" activeCell="E14" sqref="E14"/>
    </sheetView>
  </sheetViews>
  <sheetFormatPr baseColWidth="10" defaultRowHeight="15" x14ac:dyDescent="0.25"/>
  <cols>
    <col min="1" max="1" width="2.140625" customWidth="1"/>
    <col min="2" max="2" width="4.42578125" customWidth="1"/>
    <col min="3" max="3" width="14.42578125" customWidth="1"/>
    <col min="4" max="4" width="23.5703125" customWidth="1"/>
    <col min="5" max="5" width="18.42578125" customWidth="1"/>
    <col min="6" max="6" width="5.28515625" customWidth="1"/>
    <col min="7" max="7" width="8.140625" customWidth="1"/>
    <col min="8" max="8" width="7.5703125" customWidth="1"/>
    <col min="9" max="9" width="7.28515625" customWidth="1"/>
    <col min="10" max="10" width="4.140625" customWidth="1"/>
    <col min="11" max="11" width="5.5703125" customWidth="1"/>
    <col min="12" max="12" width="19.42578125" customWidth="1"/>
    <col min="13" max="13" width="11.28515625" bestFit="1" customWidth="1"/>
    <col min="14" max="14" width="1.7109375" customWidth="1"/>
    <col min="15" max="15" width="29.85546875" customWidth="1"/>
    <col min="16" max="16" width="16.85546875" customWidth="1"/>
    <col min="17" max="17" width="9.140625" customWidth="1"/>
    <col min="18" max="18" width="14.85546875" customWidth="1"/>
    <col min="19" max="19" width="1.7109375" customWidth="1"/>
    <col min="20" max="20" width="17.42578125" bestFit="1" customWidth="1"/>
    <col min="21" max="21" width="18.140625" bestFit="1" customWidth="1"/>
    <col min="22" max="22" width="7.85546875" customWidth="1"/>
    <col min="23" max="23" width="1.7109375" customWidth="1"/>
    <col min="24" max="24" width="9.5703125" bestFit="1" customWidth="1"/>
    <col min="25" max="25" width="8.140625" customWidth="1"/>
    <col min="26" max="26" width="7.7109375" customWidth="1"/>
    <col min="27" max="27" width="9" customWidth="1"/>
    <col min="28" max="28" width="9.42578125" customWidth="1"/>
    <col min="29" max="29" width="8.140625" bestFit="1" customWidth="1"/>
  </cols>
  <sheetData>
    <row r="1" spans="1:29" ht="28.5" customHeight="1" x14ac:dyDescent="0.25">
      <c r="A1" s="35"/>
      <c r="B1" s="37" t="s">
        <v>271</v>
      </c>
      <c r="C1" s="37"/>
      <c r="D1" s="9"/>
      <c r="E1" s="9"/>
      <c r="F1" s="9"/>
      <c r="G1" s="9"/>
      <c r="H1" s="9"/>
      <c r="I1" s="41" t="s">
        <v>39</v>
      </c>
      <c r="J1" s="9"/>
      <c r="L1" s="9"/>
      <c r="M1" s="9"/>
      <c r="N1" s="9"/>
      <c r="O1" s="37" t="s">
        <v>272</v>
      </c>
      <c r="P1" s="41" t="s">
        <v>142</v>
      </c>
      <c r="T1" s="38" t="s">
        <v>276</v>
      </c>
      <c r="X1" s="38" t="s">
        <v>279</v>
      </c>
    </row>
    <row r="2" spans="1:29" ht="36" x14ac:dyDescent="0.25">
      <c r="A2" s="36"/>
      <c r="B2" s="28" t="s">
        <v>10</v>
      </c>
      <c r="C2" s="2" t="s">
        <v>7</v>
      </c>
      <c r="D2" s="2" t="s">
        <v>278</v>
      </c>
      <c r="E2" s="2" t="s">
        <v>9</v>
      </c>
      <c r="F2" s="2" t="s">
        <v>277</v>
      </c>
      <c r="G2" s="2" t="s">
        <v>8</v>
      </c>
      <c r="H2" s="2" t="s">
        <v>21</v>
      </c>
      <c r="I2" s="1" t="s">
        <v>270</v>
      </c>
      <c r="J2" s="14" t="s">
        <v>3</v>
      </c>
      <c r="K2" s="15" t="s">
        <v>23</v>
      </c>
      <c r="L2" s="15" t="s">
        <v>22</v>
      </c>
      <c r="M2" s="15" t="s">
        <v>20</v>
      </c>
      <c r="O2" s="40" t="s">
        <v>0</v>
      </c>
      <c r="P2" s="40" t="s">
        <v>9</v>
      </c>
      <c r="Q2" s="40" t="s">
        <v>21</v>
      </c>
      <c r="R2" s="40" t="s">
        <v>20</v>
      </c>
      <c r="T2" s="10" t="s">
        <v>40</v>
      </c>
      <c r="U2" s="10" t="s">
        <v>53</v>
      </c>
      <c r="V2" s="10" t="s">
        <v>54</v>
      </c>
      <c r="X2" s="30" t="s">
        <v>139</v>
      </c>
      <c r="Y2" s="30" t="s">
        <v>151</v>
      </c>
      <c r="Z2" s="30" t="s">
        <v>140</v>
      </c>
      <c r="AA2" s="30" t="s">
        <v>152</v>
      </c>
      <c r="AB2" s="30" t="s">
        <v>274</v>
      </c>
      <c r="AC2" s="30" t="s">
        <v>275</v>
      </c>
    </row>
    <row r="3" spans="1:29" x14ac:dyDescent="0.25">
      <c r="B3" s="20">
        <f>IF(T_Menu[[#This Row],[Nivel]]="C"&amp;ROW()-1,0,COUNTIF(T_Menu[Nivel],T_Menu[[#This Row],[Nivel]]))</f>
        <v>1</v>
      </c>
      <c r="C3" s="4" t="s">
        <v>18</v>
      </c>
      <c r="D3" s="4" t="s">
        <v>18</v>
      </c>
      <c r="E3" s="4" t="s">
        <v>19</v>
      </c>
      <c r="F3" s="3">
        <v>263</v>
      </c>
      <c r="G3" s="3" t="s">
        <v>1</v>
      </c>
      <c r="H3" s="5"/>
      <c r="I3" s="6"/>
      <c r="J3" s="16" t="str">
        <f ca="1">IF(T_Menu[[#This Row],[HOJA NO MUESTRA]]=Ninguna,"N/A",
IF(IFERROR(SEARCH(MID(CELL("nombrearchivo"),FIND("]",CELL("nombrearchivo"),1)+1,100),T_Menu[[#This Row],[HOJA NO MUESTRA]],1),0)&gt;0,"N/A",""))</f>
        <v/>
      </c>
      <c r="K3" s="17">
        <f ca="1">IF(T_Menu[[#This Row],[N/A]]="",,COUNTIF(T_Menu[&amp;],T_Menu[[#This Row],[&amp;]]))</f>
        <v>0</v>
      </c>
      <c r="L3" s="18" t="str">
        <f ca="1">T_Menu[[#This Row],[Nivel]]&amp;T_Menu[[#This Row],[N/A]]</f>
        <v>MENU EXCEL</v>
      </c>
      <c r="M3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/>
      </c>
      <c r="O3" t="s">
        <v>25</v>
      </c>
      <c r="P3" t="s">
        <v>26</v>
      </c>
      <c r="Q3" t="s">
        <v>27</v>
      </c>
      <c r="R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[Ctrl+May+M]</v>
      </c>
      <c r="T3" s="23" t="s">
        <v>41</v>
      </c>
      <c r="U3" s="23" t="s">
        <v>42</v>
      </c>
      <c r="V3" s="24" t="s">
        <v>24</v>
      </c>
      <c r="X3" t="s">
        <v>141</v>
      </c>
      <c r="Y3" s="39">
        <v>1</v>
      </c>
      <c r="Z3" s="26" t="s">
        <v>24</v>
      </c>
      <c r="AA3" s="26" t="s">
        <v>24</v>
      </c>
      <c r="AB3" s="26" t="s">
        <v>24</v>
      </c>
      <c r="AC3" s="26" t="s">
        <v>1</v>
      </c>
    </row>
    <row r="4" spans="1:29" x14ac:dyDescent="0.25">
      <c r="B4" s="20">
        <f>IF(T_Menu[[#This Row],[Nivel]]="C"&amp;ROW()-1,0,COUNTIF(T_Menu[Nivel],T_Menu[[#This Row],[Nivel]]))</f>
        <v>5</v>
      </c>
      <c r="C4" s="4" t="s">
        <v>28</v>
      </c>
      <c r="D4" s="4" t="s">
        <v>130</v>
      </c>
      <c r="E4" s="4" t="s">
        <v>129</v>
      </c>
      <c r="F4" s="3">
        <v>64</v>
      </c>
      <c r="G4" s="3" t="s">
        <v>1</v>
      </c>
      <c r="H4" s="5" t="s">
        <v>100</v>
      </c>
      <c r="I4" s="6"/>
      <c r="J4" s="16" t="str">
        <f ca="1">IF(T_Menu[[#This Row],[HOJA NO MUESTRA]]=Ninguna,"N/A",
IF(IFERROR(SEARCH(MID(CELL("nombrearchivo"),FIND("]",CELL("nombrearchivo"),1)+1,100),T_Menu[[#This Row],[HOJA NO MUESTRA]],1),0)&gt;0,"N/A",""))</f>
        <v/>
      </c>
      <c r="K4" s="17">
        <f ca="1">IF(T_Menu[[#This Row],[N/A]]="",,COUNTIF(T_Menu[&amp;],T_Menu[[#This Row],[&amp;]]))</f>
        <v>0</v>
      </c>
      <c r="L4" s="18" t="str">
        <f ca="1">T_Menu[[#This Row],[Nivel]]&amp;T_Menu[[#This Row],[N/A]]</f>
        <v>MENU GENERAL</v>
      </c>
      <c r="M4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[Ctrl+F1]</v>
      </c>
      <c r="O4" t="s">
        <v>118</v>
      </c>
      <c r="P4" t="s">
        <v>142</v>
      </c>
      <c r="Q4" t="s">
        <v>59</v>
      </c>
      <c r="R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[Esc]</v>
      </c>
      <c r="T4" s="23" t="s">
        <v>43</v>
      </c>
      <c r="U4" s="23" t="s">
        <v>44</v>
      </c>
      <c r="V4" s="24" t="s">
        <v>24</v>
      </c>
      <c r="X4" t="s">
        <v>11</v>
      </c>
      <c r="Y4" s="39">
        <v>1</v>
      </c>
      <c r="Z4" s="25" t="s">
        <v>24</v>
      </c>
      <c r="AA4" s="26" t="s">
        <v>1</v>
      </c>
      <c r="AB4" s="26" t="s">
        <v>24</v>
      </c>
      <c r="AC4" s="26" t="s">
        <v>1</v>
      </c>
    </row>
    <row r="5" spans="1:29" x14ac:dyDescent="0.25">
      <c r="B5" s="20">
        <f>IF(T_Menu[[#This Row],[Nivel]]="C"&amp;ROW()-1,0,COUNTIF(T_Menu[Nivel],T_Menu[[#This Row],[Nivel]]))</f>
        <v>5</v>
      </c>
      <c r="C5" s="4" t="s">
        <v>28</v>
      </c>
      <c r="D5" s="4" t="s">
        <v>143</v>
      </c>
      <c r="E5" s="4" t="s">
        <v>125</v>
      </c>
      <c r="F5" s="3">
        <v>3</v>
      </c>
      <c r="G5" s="3" t="s">
        <v>24</v>
      </c>
      <c r="H5" s="5" t="s">
        <v>101</v>
      </c>
      <c r="I5" s="6"/>
      <c r="J5" s="16" t="str">
        <f ca="1">IF(T_Menu[[#This Row],[HOJA NO MUESTRA]]=Ninguna,"N/A",
IF(IFERROR(SEARCH(MID(CELL("nombrearchivo"),FIND("]",CELL("nombrearchivo"),1)+1,100),T_Menu[[#This Row],[HOJA NO MUESTRA]],1),0)&gt;0,"N/A",""))</f>
        <v/>
      </c>
      <c r="K5" s="17">
        <f ca="1">IF(T_Menu[[#This Row],[N/A]]="",,COUNTIF(T_Menu[&amp;],T_Menu[[#This Row],[&amp;]]))</f>
        <v>0</v>
      </c>
      <c r="L5" s="18" t="str">
        <f ca="1">T_Menu[[#This Row],[Nivel]]&amp;T_Menu[[#This Row],[N/A]]</f>
        <v>MENU GENERAL</v>
      </c>
      <c r="M5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[Ctrl+s]</v>
      </c>
      <c r="O5" t="s">
        <v>60</v>
      </c>
      <c r="P5" t="s">
        <v>142</v>
      </c>
      <c r="Q5" t="s">
        <v>72</v>
      </c>
      <c r="R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[Ctrl+F2]</v>
      </c>
      <c r="T5" s="23" t="s">
        <v>45</v>
      </c>
      <c r="U5" s="23" t="s">
        <v>46</v>
      </c>
      <c r="V5" s="24" t="s">
        <v>24</v>
      </c>
      <c r="X5" t="s">
        <v>36</v>
      </c>
      <c r="Y5" s="39">
        <v>1</v>
      </c>
      <c r="Z5" s="25" t="s">
        <v>24</v>
      </c>
      <c r="AA5" s="26" t="s">
        <v>24</v>
      </c>
      <c r="AB5" s="26" t="s">
        <v>1</v>
      </c>
      <c r="AC5" s="26" t="s">
        <v>24</v>
      </c>
    </row>
    <row r="6" spans="1:29" x14ac:dyDescent="0.25">
      <c r="B6" s="20">
        <f>IF(T_Menu[[#This Row],[Nivel]]="C"&amp;ROW()-1,0,COUNTIF(T_Menu[Nivel],T_Menu[[#This Row],[Nivel]]))</f>
        <v>5</v>
      </c>
      <c r="C6" s="4" t="s">
        <v>28</v>
      </c>
      <c r="D6" s="4" t="s">
        <v>144</v>
      </c>
      <c r="E6" s="4" t="s">
        <v>126</v>
      </c>
      <c r="F6" s="3">
        <v>478</v>
      </c>
      <c r="G6" s="3" t="s">
        <v>1</v>
      </c>
      <c r="H6" s="5" t="s">
        <v>102</v>
      </c>
      <c r="I6" s="6"/>
      <c r="J6" s="16" t="str">
        <f ca="1">IF(T_Menu[[#This Row],[HOJA NO MUESTRA]]=Ninguna,"N/A",
IF(IFERROR(SEARCH(MID(CELL("nombrearchivo"),FIND("]",CELL("nombrearchivo"),1)+1,100),T_Menu[[#This Row],[HOJA NO MUESTRA]],1),0)&gt;0,"N/A",""))</f>
        <v/>
      </c>
      <c r="K6" s="17">
        <f ca="1">IF(T_Menu[[#This Row],[N/A]]="",,COUNTIF(T_Menu[&amp;],T_Menu[[#This Row],[&amp;]]))</f>
        <v>0</v>
      </c>
      <c r="L6" s="18" t="str">
        <f ca="1">T_Menu[[#This Row],[Nivel]]&amp;T_Menu[[#This Row],[N/A]]</f>
        <v>MENU GENERAL</v>
      </c>
      <c r="M6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[Alt+F4]</v>
      </c>
      <c r="O6" t="s">
        <v>61</v>
      </c>
      <c r="P6" t="s">
        <v>142</v>
      </c>
      <c r="Q6" t="s">
        <v>73</v>
      </c>
      <c r="R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[Ctrl+F3]</v>
      </c>
      <c r="T6" s="23" t="s">
        <v>47</v>
      </c>
      <c r="U6" s="23" t="s">
        <v>48</v>
      </c>
      <c r="V6" s="24" t="s">
        <v>24</v>
      </c>
      <c r="X6" t="s">
        <v>37</v>
      </c>
      <c r="Y6" s="39">
        <v>0</v>
      </c>
      <c r="Z6" s="25" t="s">
        <v>1</v>
      </c>
      <c r="AA6" s="26" t="s">
        <v>24</v>
      </c>
      <c r="AB6" s="26" t="s">
        <v>24</v>
      </c>
      <c r="AC6" s="26" t="s">
        <v>24</v>
      </c>
    </row>
    <row r="7" spans="1:29" x14ac:dyDescent="0.25">
      <c r="B7" s="20">
        <f>IF(T_Menu[[#This Row],[Nivel]]="C"&amp;ROW()-1,0,COUNTIF(T_Menu[Nivel],T_Menu[[#This Row],[Nivel]]))</f>
        <v>5</v>
      </c>
      <c r="C7" s="4" t="s">
        <v>28</v>
      </c>
      <c r="D7" s="4" t="s">
        <v>145</v>
      </c>
      <c r="E7" s="4" t="s">
        <v>127</v>
      </c>
      <c r="F7" s="3">
        <v>19</v>
      </c>
      <c r="G7" s="3" t="s">
        <v>1</v>
      </c>
      <c r="H7" s="5" t="s">
        <v>103</v>
      </c>
      <c r="I7" s="6"/>
      <c r="J7" s="16" t="str">
        <f ca="1">IF(T_Menu[[#This Row],[HOJA NO MUESTRA]]=Ninguna,"N/A",
IF(IFERROR(SEARCH(MID(CELL("nombrearchivo"),FIND("]",CELL("nombrearchivo"),1)+1,100),T_Menu[[#This Row],[HOJA NO MUESTRA]],1),0)&gt;0,"N/A",""))</f>
        <v/>
      </c>
      <c r="K7" s="17">
        <f ca="1">IF(T_Menu[[#This Row],[N/A]]="",,COUNTIF(T_Menu[&amp;],T_Menu[[#This Row],[&amp;]]))</f>
        <v>0</v>
      </c>
      <c r="L7" s="18" t="str">
        <f ca="1">T_Menu[[#This Row],[Nivel]]&amp;T_Menu[[#This Row],[N/A]]</f>
        <v>MENU GENERAL</v>
      </c>
      <c r="M7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[Ctrl+c]</v>
      </c>
      <c r="O7" t="s">
        <v>62</v>
      </c>
      <c r="P7" t="s">
        <v>142</v>
      </c>
      <c r="Q7" t="s">
        <v>74</v>
      </c>
      <c r="R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[Ctrl+May+F3]</v>
      </c>
      <c r="T7" s="23" t="s">
        <v>49</v>
      </c>
      <c r="U7" s="23" t="s">
        <v>50</v>
      </c>
      <c r="V7" s="24" t="s">
        <v>24</v>
      </c>
      <c r="X7" t="s">
        <v>273</v>
      </c>
      <c r="Y7" s="39">
        <v>1</v>
      </c>
      <c r="Z7" s="25" t="s">
        <v>24</v>
      </c>
      <c r="AA7" s="26" t="s">
        <v>1</v>
      </c>
      <c r="AB7" s="26" t="s">
        <v>1</v>
      </c>
      <c r="AC7" s="26" t="s">
        <v>24</v>
      </c>
    </row>
    <row r="8" spans="1:29" x14ac:dyDescent="0.25">
      <c r="B8" s="20">
        <f>IF(T_Menu[[#This Row],[Nivel]]="C"&amp;ROW()-1,0,COUNTIF(T_Menu[Nivel],T_Menu[[#This Row],[Nivel]]))</f>
        <v>5</v>
      </c>
      <c r="C8" s="4" t="s">
        <v>28</v>
      </c>
      <c r="D8" s="4" t="s">
        <v>146</v>
      </c>
      <c r="E8" s="4" t="s">
        <v>128</v>
      </c>
      <c r="F8" s="3">
        <v>22</v>
      </c>
      <c r="G8" s="3" t="s">
        <v>1</v>
      </c>
      <c r="H8" s="5" t="s">
        <v>104</v>
      </c>
      <c r="I8" s="6"/>
      <c r="J8" s="16" t="str">
        <f ca="1">IF(T_Menu[[#This Row],[HOJA NO MUESTRA]]=Ninguna,"N/A",
IF(IFERROR(SEARCH(MID(CELL("nombrearchivo"),FIND("]",CELL("nombrearchivo"),1)+1,100),T_Menu[[#This Row],[HOJA NO MUESTRA]],1),0)&gt;0,"N/A",""))</f>
        <v/>
      </c>
      <c r="K8" s="17">
        <f ca="1">IF(T_Menu[[#This Row],[N/A]]="",,COUNTIF(T_Menu[&amp;],T_Menu[[#This Row],[&amp;]]))</f>
        <v>0</v>
      </c>
      <c r="L8" s="18" t="str">
        <f ca="1">T_Menu[[#This Row],[Nivel]]&amp;T_Menu[[#This Row],[N/A]]</f>
        <v>MENU GENERAL</v>
      </c>
      <c r="M8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[Ctrl+v]</v>
      </c>
      <c r="O8" t="s">
        <v>63</v>
      </c>
      <c r="P8" t="s">
        <v>142</v>
      </c>
      <c r="Q8" t="s">
        <v>75</v>
      </c>
      <c r="R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[F3]</v>
      </c>
      <c r="T8" s="23" t="s">
        <v>51</v>
      </c>
      <c r="U8" s="23" t="s">
        <v>52</v>
      </c>
      <c r="V8" s="24" t="s">
        <v>24</v>
      </c>
    </row>
    <row r="9" spans="1:29" x14ac:dyDescent="0.25">
      <c r="B9" s="20">
        <f>IF(T_Menu[[#This Row],[Nivel]]="C"&amp;ROW()-1,0,COUNTIF(T_Menu[Nivel],T_Menu[[#This Row],[Nivel]]))</f>
        <v>4</v>
      </c>
      <c r="C9" s="4" t="s">
        <v>136</v>
      </c>
      <c r="D9" s="4" t="s">
        <v>147</v>
      </c>
      <c r="E9" s="4" t="s">
        <v>38</v>
      </c>
      <c r="F9" s="3">
        <v>29</v>
      </c>
      <c r="G9" s="3" t="s">
        <v>24</v>
      </c>
      <c r="H9" s="5" t="s">
        <v>35</v>
      </c>
      <c r="I9" s="6" t="s">
        <v>141</v>
      </c>
      <c r="J9" s="16" t="str">
        <f ca="1">IF(T_Menu[[#This Row],[HOJA NO MUESTRA]]=Ninguna,"N/A",
IF(IFERROR(SEARCH(MID(CELL("nombrearchivo"),FIND("]",CELL("nombrearchivo"),1)+1,100),T_Menu[[#This Row],[HOJA NO MUESTRA]],1),0)&gt;0,"N/A",""))</f>
        <v>N/A</v>
      </c>
      <c r="K9" s="17">
        <f ca="1">IF(T_Menu[[#This Row],[N/A]]="",,COUNTIF(T_Menu[&amp;],T_Menu[[#This Row],[&amp;]]))</f>
        <v>1</v>
      </c>
      <c r="L9" s="18" t="str">
        <f ca="1">T_Menu[[#This Row],[Nivel]]&amp;T_Menu[[#This Row],[N/A]]</f>
        <v>MENÚ IR A…N/A</v>
      </c>
      <c r="M9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[Ctrl+May+I]</v>
      </c>
      <c r="O9" t="s">
        <v>163</v>
      </c>
      <c r="P9" t="s">
        <v>142</v>
      </c>
      <c r="Q9" t="s">
        <v>76</v>
      </c>
      <c r="R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[F5]</v>
      </c>
    </row>
    <row r="10" spans="1:29" x14ac:dyDescent="0.25">
      <c r="B10" s="20">
        <f>IF(T_Menu[[#This Row],[Nivel]]="C"&amp;ROW()-1,0,COUNTIF(T_Menu[Nivel],T_Menu[[#This Row],[Nivel]]))</f>
        <v>4</v>
      </c>
      <c r="C10" s="4" t="s">
        <v>136</v>
      </c>
      <c r="D10" s="4" t="s">
        <v>148</v>
      </c>
      <c r="E10" s="4" t="s">
        <v>32</v>
      </c>
      <c r="F10" s="3">
        <v>29</v>
      </c>
      <c r="G10" s="3" t="s">
        <v>1</v>
      </c>
      <c r="H10" s="5" t="s">
        <v>29</v>
      </c>
      <c r="I10" s="6" t="s">
        <v>11</v>
      </c>
      <c r="J10" s="16" t="str">
        <f ca="1">IF(T_Menu[[#This Row],[HOJA NO MUESTRA]]=Ninguna,"N/A",
IF(IFERROR(SEARCH(MID(CELL("nombrearchivo"),FIND("]",CELL("nombrearchivo"),1)+1,100),T_Menu[[#This Row],[HOJA NO MUESTRA]],1),0)&gt;0,"N/A",""))</f>
        <v/>
      </c>
      <c r="K10" s="17">
        <f ca="1">IF(T_Menu[[#This Row],[N/A]]="",,COUNTIF(T_Menu[&amp;],T_Menu[[#This Row],[&amp;]]))</f>
        <v>0</v>
      </c>
      <c r="L10" s="18" t="str">
        <f ca="1">T_Menu[[#This Row],[Nivel]]&amp;T_Menu[[#This Row],[N/A]]</f>
        <v>MENÚ IR A…</v>
      </c>
      <c r="M10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[Ctrl+May+P]</v>
      </c>
      <c r="O10" t="s">
        <v>64</v>
      </c>
      <c r="P10" t="s">
        <v>142</v>
      </c>
      <c r="Q10" t="s">
        <v>77</v>
      </c>
      <c r="R1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[Alt+F8]</v>
      </c>
    </row>
    <row r="11" spans="1:29" x14ac:dyDescent="0.25">
      <c r="B11" s="20">
        <f>IF(T_Menu[[#This Row],[Nivel]]="C"&amp;ROW()-1,0,COUNTIF(T_Menu[Nivel],T_Menu[[#This Row],[Nivel]]))</f>
        <v>4</v>
      </c>
      <c r="C11" s="4" t="s">
        <v>136</v>
      </c>
      <c r="D11" s="4" t="s">
        <v>149</v>
      </c>
      <c r="E11" s="4" t="s">
        <v>33</v>
      </c>
      <c r="F11" s="3">
        <v>29</v>
      </c>
      <c r="G11" s="3" t="s">
        <v>1</v>
      </c>
      <c r="H11" s="5" t="s">
        <v>30</v>
      </c>
      <c r="I11" s="6" t="s">
        <v>36</v>
      </c>
      <c r="J11" s="16" t="str">
        <f ca="1">IF(T_Menu[[#This Row],[HOJA NO MUESTRA]]=Ninguna,"N/A",
IF(IFERROR(SEARCH(MID(CELL("nombrearchivo"),FIND("]",CELL("nombrearchivo"),1)+1,100),T_Menu[[#This Row],[HOJA NO MUESTRA]],1),0)&gt;0,"N/A",""))</f>
        <v/>
      </c>
      <c r="K11" s="17">
        <f ca="1">IF(T_Menu[[#This Row],[N/A]]="",,COUNTIF(T_Menu[&amp;],T_Menu[[#This Row],[&amp;]]))</f>
        <v>0</v>
      </c>
      <c r="L11" s="18" t="str">
        <f ca="1">T_Menu[[#This Row],[Nivel]]&amp;T_Menu[[#This Row],[N/A]]</f>
        <v>MENÚ IR A…</v>
      </c>
      <c r="M11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[Ctrl+May+S]</v>
      </c>
      <c r="O11" t="s">
        <v>65</v>
      </c>
      <c r="P11" t="s">
        <v>142</v>
      </c>
      <c r="Q11" t="s">
        <v>78</v>
      </c>
      <c r="R11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[Alt+F10]</v>
      </c>
    </row>
    <row r="12" spans="1:29" x14ac:dyDescent="0.25">
      <c r="B12" s="20">
        <f>IF(T_Menu[[#This Row],[Nivel]]="C"&amp;ROW()-1,0,COUNTIF(T_Menu[Nivel],T_Menu[[#This Row],[Nivel]]))</f>
        <v>4</v>
      </c>
      <c r="C12" s="4" t="s">
        <v>136</v>
      </c>
      <c r="D12" s="4" t="s">
        <v>150</v>
      </c>
      <c r="E12" s="4" t="s">
        <v>34</v>
      </c>
      <c r="F12" s="3">
        <v>29</v>
      </c>
      <c r="G12" s="3" t="s">
        <v>1</v>
      </c>
      <c r="H12" s="5" t="s">
        <v>31</v>
      </c>
      <c r="I12" s="6" t="s">
        <v>37</v>
      </c>
      <c r="J12" s="16" t="str">
        <f ca="1">IF(T_Menu[[#This Row],[HOJA NO MUESTRA]]=Ninguna,"N/A",
IF(IFERROR(SEARCH(MID(CELL("nombrearchivo"),FIND("]",CELL("nombrearchivo"),1)+1,100),T_Menu[[#This Row],[HOJA NO MUESTRA]],1),0)&gt;0,"N/A",""))</f>
        <v/>
      </c>
      <c r="K12" s="17">
        <f ca="1">IF(T_Menu[[#This Row],[N/A]]="",,COUNTIF(T_Menu[&amp;],T_Menu[[#This Row],[&amp;]]))</f>
        <v>0</v>
      </c>
      <c r="L12" s="18" t="str">
        <f ca="1">T_Menu[[#This Row],[Nivel]]&amp;T_Menu[[#This Row],[N/A]]</f>
        <v>MENÚ IR A…</v>
      </c>
      <c r="M12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[Ctrl+May+T]</v>
      </c>
      <c r="O12" t="s">
        <v>66</v>
      </c>
      <c r="P12" t="s">
        <v>142</v>
      </c>
      <c r="Q12" t="s">
        <v>79</v>
      </c>
      <c r="R12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[F10]</v>
      </c>
    </row>
    <row r="13" spans="1:29" x14ac:dyDescent="0.25">
      <c r="B13" s="20">
        <f>IF(T_Menu[[#This Row],[Nivel]]="C"&amp;ROW()-1,0,COUNTIF(T_Menu[Nivel],T_Menu[[#This Row],[Nivel]]))</f>
        <v>2</v>
      </c>
      <c r="C13" s="4" t="s">
        <v>131</v>
      </c>
      <c r="D13" s="4" t="s">
        <v>13</v>
      </c>
      <c r="E13" s="4" t="s">
        <v>127</v>
      </c>
      <c r="F13" s="3">
        <v>2</v>
      </c>
      <c r="G13" s="3" t="s">
        <v>24</v>
      </c>
      <c r="H13" s="7"/>
      <c r="I13" s="6" t="s">
        <v>11</v>
      </c>
      <c r="J13" s="16" t="str">
        <f ca="1">IF(T_Menu[[#This Row],[HOJA NO MUESTRA]]=Ninguna,"N/A",
IF(IFERROR(SEARCH(MID(CELL("nombrearchivo"),FIND("]",CELL("nombrearchivo"),1)+1,100),T_Menu[[#This Row],[HOJA NO MUESTRA]],1),0)&gt;0,"N/A",""))</f>
        <v/>
      </c>
      <c r="K13" s="17">
        <f ca="1">IF(T_Menu[[#This Row],[N/A]]="",,COUNTIF(T_Menu[&amp;],T_Menu[[#This Row],[&amp;]]))</f>
        <v>0</v>
      </c>
      <c r="L13" s="18" t="str">
        <f ca="1">T_Menu[[#This Row],[Nivel]]&amp;T_Menu[[#This Row],[N/A]]</f>
        <v>MENÚ PRIMERO</v>
      </c>
      <c r="M13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/>
      </c>
      <c r="O13" t="s">
        <v>67</v>
      </c>
      <c r="P13" t="s">
        <v>142</v>
      </c>
      <c r="Q13" t="s">
        <v>80</v>
      </c>
      <c r="R1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[May+F10]</v>
      </c>
    </row>
    <row r="14" spans="1:29" x14ac:dyDescent="0.25">
      <c r="B14" s="20">
        <f>IF(T_Menu[[#This Row],[Nivel]]="C"&amp;ROW()-1,0,COUNTIF(T_Menu[Nivel],T_Menu[[#This Row],[Nivel]]))</f>
        <v>2</v>
      </c>
      <c r="C14" s="4" t="s">
        <v>131</v>
      </c>
      <c r="D14" s="4" t="s">
        <v>12</v>
      </c>
      <c r="E14" s="4"/>
      <c r="F14" s="3">
        <v>3</v>
      </c>
      <c r="G14" s="3" t="s">
        <v>1</v>
      </c>
      <c r="H14" s="7"/>
      <c r="I14" s="6"/>
      <c r="J14" s="16" t="str">
        <f ca="1">IF(T_Menu[[#This Row],[HOJA NO MUESTRA]]=Ninguna,"N/A",
IF(IFERROR(SEARCH(MID(CELL("nombrearchivo"),FIND("]",CELL("nombrearchivo"),1)+1,100),T_Menu[[#This Row],[HOJA NO MUESTRA]],1),0)&gt;0,"N/A",""))</f>
        <v/>
      </c>
      <c r="K14" s="17">
        <f ca="1">IF(T_Menu[[#This Row],[N/A]]="",,COUNTIF(T_Menu[&amp;],T_Menu[[#This Row],[&amp;]]))</f>
        <v>0</v>
      </c>
      <c r="L14" s="18" t="str">
        <f ca="1">T_Menu[[#This Row],[Nivel]]&amp;T_Menu[[#This Row],[N/A]]</f>
        <v>MENÚ PRIMERO</v>
      </c>
      <c r="M14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/>
      </c>
      <c r="O14" t="s">
        <v>68</v>
      </c>
      <c r="P14" t="s">
        <v>142</v>
      </c>
      <c r="Q14" t="s">
        <v>55</v>
      </c>
      <c r="R1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[Alt+F11]</v>
      </c>
    </row>
    <row r="15" spans="1:29" x14ac:dyDescent="0.25">
      <c r="B15" s="20">
        <f>IF(T_Menu[[#This Row],[Nivel]]="C"&amp;ROW()-1,0,COUNTIF(T_Menu[Nivel],T_Menu[[#This Row],[Nivel]]))</f>
        <v>1</v>
      </c>
      <c r="C15" s="4" t="s">
        <v>132</v>
      </c>
      <c r="D15" s="4" t="s">
        <v>2</v>
      </c>
      <c r="E15" s="4" t="s">
        <v>33</v>
      </c>
      <c r="F15" s="3">
        <v>6</v>
      </c>
      <c r="G15" s="3" t="s">
        <v>1</v>
      </c>
      <c r="H15" s="7" t="s">
        <v>30</v>
      </c>
      <c r="I15" s="6"/>
      <c r="J15" s="16" t="str">
        <f ca="1">IF(T_Menu[[#This Row],[HOJA NO MUESTRA]]=Ninguna,"N/A",
IF(IFERROR(SEARCH(MID(CELL("nombrearchivo"),FIND("]",CELL("nombrearchivo"),1)+1,100),T_Menu[[#This Row],[HOJA NO MUESTRA]],1),0)&gt;0,"N/A",""))</f>
        <v/>
      </c>
      <c r="K15" s="17">
        <f ca="1">IF(T_Menu[[#This Row],[N/A]]="",,COUNTIF(T_Menu[&amp;],T_Menu[[#This Row],[&amp;]]))</f>
        <v>0</v>
      </c>
      <c r="L15" s="18" t="str">
        <f ca="1">T_Menu[[#This Row],[Nivel]]&amp;T_Menu[[#This Row],[N/A]]</f>
        <v>MENÚ SEGUNDO</v>
      </c>
      <c r="M15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[Ctrl+May+S]</v>
      </c>
      <c r="O15" t="s">
        <v>69</v>
      </c>
      <c r="P15" t="s">
        <v>142</v>
      </c>
      <c r="Q15" t="s">
        <v>81</v>
      </c>
      <c r="R1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[Ctrl+F11]</v>
      </c>
      <c r="T15" s="21"/>
    </row>
    <row r="16" spans="1:29" x14ac:dyDescent="0.25">
      <c r="B16" s="20">
        <f>IF(T_Menu[[#This Row],[Nivel]]="C"&amp;ROW()-1,0,COUNTIF(T_Menu[Nivel],T_Menu[[#This Row],[Nivel]]))</f>
        <v>3</v>
      </c>
      <c r="C16" s="4" t="s">
        <v>133</v>
      </c>
      <c r="D16" s="4" t="s">
        <v>4</v>
      </c>
      <c r="E16" s="4" t="s">
        <v>34</v>
      </c>
      <c r="F16" s="3">
        <v>7</v>
      </c>
      <c r="G16" s="3" t="s">
        <v>24</v>
      </c>
      <c r="H16" s="7" t="s">
        <v>31</v>
      </c>
      <c r="I16" s="6"/>
      <c r="J16" s="16" t="str">
        <f ca="1">IF(T_Menu[[#This Row],[HOJA NO MUESTRA]]=Ninguna,"N/A",
IF(IFERROR(SEARCH(MID(CELL("nombrearchivo"),FIND("]",CELL("nombrearchivo"),1)+1,100),T_Menu[[#This Row],[HOJA NO MUESTRA]],1),0)&gt;0,"N/A",""))</f>
        <v/>
      </c>
      <c r="K16" s="17">
        <f ca="1">IF(T_Menu[[#This Row],[N/A]]="",,COUNTIF(T_Menu[&amp;],T_Menu[[#This Row],[&amp;]]))</f>
        <v>0</v>
      </c>
      <c r="L16" s="18" t="str">
        <f ca="1">T_Menu[[#This Row],[Nivel]]&amp;T_Menu[[#This Row],[N/A]]</f>
        <v>MENÚ TERCERO</v>
      </c>
      <c r="M16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>[Ctrl+May+T]</v>
      </c>
      <c r="O16" t="s">
        <v>70</v>
      </c>
      <c r="P16" t="s">
        <v>142</v>
      </c>
      <c r="Q16" t="s">
        <v>82</v>
      </c>
      <c r="R1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[Ctrl+May+F12]</v>
      </c>
    </row>
    <row r="17" spans="2:20" x14ac:dyDescent="0.25">
      <c r="B17" s="20">
        <f>IF(T_Menu[[#This Row],[Nivel]]="C"&amp;ROW()-1,0,COUNTIF(T_Menu[Nivel],T_Menu[[#This Row],[Nivel]]))</f>
        <v>3</v>
      </c>
      <c r="C17" s="4" t="s">
        <v>133</v>
      </c>
      <c r="D17" s="4" t="s">
        <v>5</v>
      </c>
      <c r="E17" s="4"/>
      <c r="F17" s="3">
        <v>9</v>
      </c>
      <c r="G17" s="3" t="s">
        <v>1</v>
      </c>
      <c r="H17" s="7"/>
      <c r="I17" s="6"/>
      <c r="J17" s="16" t="str">
        <f ca="1">IF(T_Menu[[#This Row],[HOJA NO MUESTRA]]=Ninguna,"N/A",
IF(IFERROR(SEARCH(MID(CELL("nombrearchivo"),FIND("]",CELL("nombrearchivo"),1)+1,100),T_Menu[[#This Row],[HOJA NO MUESTRA]],1),0)&gt;0,"N/A",""))</f>
        <v/>
      </c>
      <c r="K17" s="17">
        <f ca="1">IF(T_Menu[[#This Row],[N/A]]="",,COUNTIF(T_Menu[&amp;],T_Menu[[#This Row],[&amp;]]))</f>
        <v>0</v>
      </c>
      <c r="L17" s="18" t="str">
        <f ca="1">T_Menu[[#This Row],[Nivel]]&amp;T_Menu[[#This Row],[N/A]]</f>
        <v>MENÚ TERCERO</v>
      </c>
      <c r="M17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/>
      </c>
      <c r="O17" t="s">
        <v>71</v>
      </c>
      <c r="P17" t="s">
        <v>142</v>
      </c>
      <c r="Q17" t="s">
        <v>83</v>
      </c>
      <c r="R1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[Ctrl+p]</v>
      </c>
      <c r="T17" s="22"/>
    </row>
    <row r="18" spans="2:20" x14ac:dyDescent="0.25">
      <c r="B18" s="20">
        <f>IF(T_Menu[[#This Row],[Nivel]]="C"&amp;ROW()-1,0,COUNTIF(T_Menu[Nivel],T_Menu[[#This Row],[Nivel]]))</f>
        <v>3</v>
      </c>
      <c r="C18" s="4" t="s">
        <v>133</v>
      </c>
      <c r="D18" s="4" t="s">
        <v>6</v>
      </c>
      <c r="E18" s="4"/>
      <c r="F18" s="3">
        <v>10</v>
      </c>
      <c r="G18" s="3" t="s">
        <v>1</v>
      </c>
      <c r="H18" s="7"/>
      <c r="I18" s="6"/>
      <c r="J18" s="16" t="str">
        <f ca="1">IF(T_Menu[[#This Row],[HOJA NO MUESTRA]]=Ninguna,"N/A",
IF(IFERROR(SEARCH(MID(CELL("nombrearchivo"),FIND("]",CELL("nombrearchivo"),1)+1,100),T_Menu[[#This Row],[HOJA NO MUESTRA]],1),0)&gt;0,"N/A",""))</f>
        <v/>
      </c>
      <c r="K18" s="17">
        <f ca="1">IF(T_Menu[[#This Row],[N/A]]="",,COUNTIF(T_Menu[&amp;],T_Menu[[#This Row],[&amp;]]))</f>
        <v>0</v>
      </c>
      <c r="L18" s="18" t="str">
        <f ca="1">T_Menu[[#This Row],[Nivel]]&amp;T_Menu[[#This Row],[N/A]]</f>
        <v>MENÚ TERCERO</v>
      </c>
      <c r="M18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/>
      </c>
      <c r="O18" t="s">
        <v>138</v>
      </c>
      <c r="P18" t="s">
        <v>142</v>
      </c>
      <c r="Q18" t="s">
        <v>91</v>
      </c>
      <c r="R1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[Ctrl+t]</v>
      </c>
      <c r="T18" s="22"/>
    </row>
    <row r="19" spans="2:20" x14ac:dyDescent="0.25">
      <c r="B19" s="20">
        <f>IF(T_Menu[[#This Row],[Nivel]]="C"&amp;ROW()-1,0,COUNTIF(T_Menu[Nivel],T_Menu[[#This Row],[Nivel]]))</f>
        <v>1</v>
      </c>
      <c r="C19" s="4" t="s">
        <v>134</v>
      </c>
      <c r="D19" s="4" t="s">
        <v>17</v>
      </c>
      <c r="E19" s="4"/>
      <c r="F19" s="3">
        <v>11</v>
      </c>
      <c r="G19" s="3" t="s">
        <v>1</v>
      </c>
      <c r="H19" s="7"/>
      <c r="I19" s="6"/>
      <c r="J19" s="16" t="str">
        <f ca="1">IF(T_Menu[[#This Row],[HOJA NO MUESTRA]]=Ninguna,"N/A",
IF(IFERROR(SEARCH(MID(CELL("nombrearchivo"),FIND("]",CELL("nombrearchivo"),1)+1,100),T_Menu[[#This Row],[HOJA NO MUESTRA]],1),0)&gt;0,"N/A",""))</f>
        <v/>
      </c>
      <c r="K19" s="17">
        <f ca="1">IF(T_Menu[[#This Row],[N/A]]="",,COUNTIF(T_Menu[&amp;],T_Menu[[#This Row],[&amp;]]))</f>
        <v>0</v>
      </c>
      <c r="L19" s="18" t="str">
        <f ca="1">T_Menu[[#This Row],[Nivel]]&amp;T_Menu[[#This Row],[N/A]]</f>
        <v>MENÚ CUARTO</v>
      </c>
      <c r="M19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/>
      </c>
      <c r="O19" t="s">
        <v>84</v>
      </c>
      <c r="P19" t="s">
        <v>142</v>
      </c>
      <c r="Q19" t="s">
        <v>92</v>
      </c>
      <c r="R1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[Alt+m]</v>
      </c>
    </row>
    <row r="20" spans="2:20" x14ac:dyDescent="0.25">
      <c r="B20" s="20">
        <f>IF(T_Menu[[#This Row],[Nivel]]="C"&amp;ROW()-1,0,COUNTIF(T_Menu[Nivel],T_Menu[[#This Row],[Nivel]]))</f>
        <v>3</v>
      </c>
      <c r="C20" s="4" t="s">
        <v>135</v>
      </c>
      <c r="D20" s="4" t="s">
        <v>14</v>
      </c>
      <c r="E20" s="4"/>
      <c r="F20" s="3">
        <v>12</v>
      </c>
      <c r="G20" s="3" t="s">
        <v>1</v>
      </c>
      <c r="H20" s="7"/>
      <c r="I20" s="6"/>
      <c r="J20" s="16" t="str">
        <f ca="1">IF(T_Menu[[#This Row],[HOJA NO MUESTRA]]=Ninguna,"N/A",
IF(IFERROR(SEARCH(MID(CELL("nombrearchivo"),FIND("]",CELL("nombrearchivo"),1)+1,100),T_Menu[[#This Row],[HOJA NO MUESTRA]],1),0)&gt;0,"N/A",""))</f>
        <v/>
      </c>
      <c r="K20" s="17">
        <f ca="1">IF(T_Menu[[#This Row],[N/A]]="",,COUNTIF(T_Menu[&amp;],T_Menu[[#This Row],[&amp;]]))</f>
        <v>0</v>
      </c>
      <c r="L20" s="18" t="str">
        <f ca="1">T_Menu[[#This Row],[Nivel]]&amp;T_Menu[[#This Row],[N/A]]</f>
        <v>MENÚ QUINTO</v>
      </c>
      <c r="M20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/>
      </c>
      <c r="O20" t="s">
        <v>84</v>
      </c>
      <c r="P20" t="s">
        <v>142</v>
      </c>
      <c r="Q20" t="s">
        <v>93</v>
      </c>
      <c r="R2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[Ctrl+May+F10]</v>
      </c>
    </row>
    <row r="21" spans="2:20" x14ac:dyDescent="0.25">
      <c r="B21" s="20">
        <f>IF(T_Menu[[#This Row],[Nivel]]="C"&amp;ROW()-1,0,COUNTIF(T_Menu[Nivel],T_Menu[[#This Row],[Nivel]]))</f>
        <v>3</v>
      </c>
      <c r="C21" s="4" t="s">
        <v>135</v>
      </c>
      <c r="D21" s="4" t="s">
        <v>15</v>
      </c>
      <c r="E21" s="4"/>
      <c r="F21" s="3">
        <v>13</v>
      </c>
      <c r="G21" s="3" t="s">
        <v>1</v>
      </c>
      <c r="H21" s="7"/>
      <c r="I21" s="6"/>
      <c r="J21" s="16" t="str">
        <f ca="1">IF(T_Menu[[#This Row],[HOJA NO MUESTRA]]=Ninguna,"N/A",
IF(IFERROR(SEARCH(MID(CELL("nombrearchivo"),FIND("]",CELL("nombrearchivo"),1)+1,100),T_Menu[[#This Row],[HOJA NO MUESTRA]],1),0)&gt;0,"N/A",""))</f>
        <v/>
      </c>
      <c r="K21" s="17">
        <f ca="1">IF(T_Menu[[#This Row],[N/A]]="",,COUNTIF(T_Menu[&amp;],T_Menu[[#This Row],[&amp;]]))</f>
        <v>0</v>
      </c>
      <c r="L21" s="18" t="str">
        <f ca="1">T_Menu[[#This Row],[Nivel]]&amp;T_Menu[[#This Row],[N/A]]</f>
        <v>MENÚ QUINTO</v>
      </c>
      <c r="M21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/>
      </c>
      <c r="O21" t="s">
        <v>85</v>
      </c>
      <c r="P21" t="s">
        <v>142</v>
      </c>
      <c r="Q21" t="s">
        <v>94</v>
      </c>
      <c r="R21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[Ctrl+May+U]</v>
      </c>
    </row>
    <row r="22" spans="2:20" x14ac:dyDescent="0.25">
      <c r="B22" s="20">
        <f>IF(T_Menu[[#This Row],[Nivel]]="C"&amp;ROW()-1,0,COUNTIF(T_Menu[Nivel],T_Menu[[#This Row],[Nivel]]))</f>
        <v>3</v>
      </c>
      <c r="C22" s="11" t="s">
        <v>135</v>
      </c>
      <c r="D22" s="11" t="s">
        <v>16</v>
      </c>
      <c r="E22" s="11"/>
      <c r="F22" s="12">
        <v>14</v>
      </c>
      <c r="G22" s="12" t="s">
        <v>1</v>
      </c>
      <c r="H22" s="13"/>
      <c r="I22" s="6"/>
      <c r="J22" s="16" t="str">
        <f ca="1">IF(T_Menu[[#This Row],[HOJA NO MUESTRA]]=Ninguna,"N/A",
IF(IFERROR(SEARCH(MID(CELL("nombrearchivo"),FIND("]",CELL("nombrearchivo"),1)+1,100),T_Menu[[#This Row],[HOJA NO MUESTRA]],1),0)&gt;0,"N/A",""))</f>
        <v/>
      </c>
      <c r="K22" s="17">
        <f ca="1">IF(T_Menu[[#This Row],[N/A]]="",,COUNTIF(T_Menu[&amp;],T_Menu[[#This Row],[&amp;]]))</f>
        <v>0</v>
      </c>
      <c r="L22" s="18" t="str">
        <f ca="1">T_Menu[[#This Row],[Nivel]]&amp;T_Menu[[#This Row],[N/A]]</f>
        <v>MENÚ QUINTO</v>
      </c>
      <c r="M22" s="19" t="str">
        <f>IFERROR(IF(T_Menu[[#This Row],[Teclas]]="","","["&amp;IFERROR(REPLACE(SEARCH("%",T_Menu[[#This Row],[Teclas]],1),1,1,"Alt+"),"")&amp;IFERROR(REPLACE(SEARCH("^",T_Menu[[#This Row],[Teclas]],1),1,1,"Ctrl+"),"")&amp;IFERROR(REPLACE(SEARCH("+",T_Menu[[#This Row],[Teclas]],1),1,1,"May+"),"")&amp;IF(IFERROR(SEARCH("+",T_Menu[[#This Row],[Teclas]],1),"")&lt;&gt;"",UPPER(MID(T_Menu[[#This Row],[Teclas]],FIND("{",T_Menu[[#This Row],[Teclas]],1)+1,LEN(T_Menu[[#This Row],[Teclas]])-FIND("{",T_Menu[[#This Row],[Teclas]],1)-1)),MID(T_Menu[[#This Row],[Teclas]],FIND("{",T_Menu[[#This Row],[Teclas]],1)+1,LEN(T_Menu[[#This Row],[Teclas]])-FIND("{",T_Menu[[#This Row],[Teclas]],1)-1))&amp;"]"),"")</f>
        <v/>
      </c>
      <c r="O22" t="s">
        <v>86</v>
      </c>
      <c r="P22" t="s">
        <v>142</v>
      </c>
      <c r="Q22" t="s">
        <v>95</v>
      </c>
      <c r="R22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[Alt+DOWN]</v>
      </c>
    </row>
    <row r="23" spans="2:20" x14ac:dyDescent="0.25">
      <c r="O23" t="s">
        <v>87</v>
      </c>
      <c r="P23" t="s">
        <v>142</v>
      </c>
      <c r="Q23" t="s">
        <v>96</v>
      </c>
      <c r="R2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[TAB]</v>
      </c>
    </row>
    <row r="24" spans="2:20" x14ac:dyDescent="0.25">
      <c r="O24" t="s">
        <v>88</v>
      </c>
      <c r="P24" t="s">
        <v>142</v>
      </c>
      <c r="Q24" t="s">
        <v>97</v>
      </c>
      <c r="R2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[May+TAB]</v>
      </c>
    </row>
    <row r="25" spans="2:20" x14ac:dyDescent="0.25">
      <c r="O25" t="s">
        <v>89</v>
      </c>
      <c r="P25" t="s">
        <v>142</v>
      </c>
      <c r="Q25" t="s">
        <v>98</v>
      </c>
      <c r="R2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[Alt+t]</v>
      </c>
    </row>
    <row r="26" spans="2:20" x14ac:dyDescent="0.25">
      <c r="O26" t="s">
        <v>90</v>
      </c>
      <c r="P26" t="s">
        <v>142</v>
      </c>
      <c r="Q26" t="s">
        <v>99</v>
      </c>
      <c r="R2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[Alt+LEFT]</v>
      </c>
    </row>
    <row r="27" spans="2:20" x14ac:dyDescent="0.25">
      <c r="O27" t="s">
        <v>220</v>
      </c>
      <c r="P27" t="s">
        <v>142</v>
      </c>
      <c r="Q27" t="s">
        <v>100</v>
      </c>
      <c r="R2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[Ctrl+F1]</v>
      </c>
    </row>
    <row r="28" spans="2:20" x14ac:dyDescent="0.25">
      <c r="O28" t="s">
        <v>176</v>
      </c>
      <c r="P28" t="s">
        <v>142</v>
      </c>
      <c r="Q28" t="s">
        <v>101</v>
      </c>
      <c r="R2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[Ctrl+s]</v>
      </c>
    </row>
    <row r="29" spans="2:20" x14ac:dyDescent="0.25">
      <c r="O29" t="s">
        <v>153</v>
      </c>
      <c r="P29" t="s">
        <v>142</v>
      </c>
      <c r="Q29" t="s">
        <v>102</v>
      </c>
      <c r="R2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[Alt+F4]</v>
      </c>
    </row>
    <row r="30" spans="2:20" x14ac:dyDescent="0.25">
      <c r="O30" t="s">
        <v>154</v>
      </c>
      <c r="P30" t="s">
        <v>142</v>
      </c>
      <c r="Q30" t="s">
        <v>103</v>
      </c>
      <c r="R3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[Ctrl+c]</v>
      </c>
    </row>
    <row r="31" spans="2:20" x14ac:dyDescent="0.25">
      <c r="O31" t="s">
        <v>178</v>
      </c>
      <c r="P31" t="s">
        <v>142</v>
      </c>
      <c r="Q31" t="s">
        <v>104</v>
      </c>
      <c r="R31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[Ctrl+v]</v>
      </c>
    </row>
    <row r="32" spans="2:20" x14ac:dyDescent="0.25">
      <c r="O32" t="s">
        <v>263</v>
      </c>
      <c r="P32" t="s">
        <v>142</v>
      </c>
      <c r="Q32" t="s">
        <v>105</v>
      </c>
      <c r="R32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[Ctrl+May+F]</v>
      </c>
    </row>
    <row r="33" spans="15:18" x14ac:dyDescent="0.25">
      <c r="O33" t="s">
        <v>25</v>
      </c>
      <c r="P33" t="s">
        <v>142</v>
      </c>
      <c r="Q33" t="s">
        <v>27</v>
      </c>
      <c r="R3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[Ctrl+May+M]</v>
      </c>
    </row>
    <row r="34" spans="15:18" x14ac:dyDescent="0.25">
      <c r="O34" t="s">
        <v>173</v>
      </c>
      <c r="P34" t="s">
        <v>142</v>
      </c>
      <c r="Q34" t="s">
        <v>106</v>
      </c>
      <c r="R3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[Ctrl+L]</v>
      </c>
    </row>
    <row r="35" spans="15:18" x14ac:dyDescent="0.25">
      <c r="O35" t="s">
        <v>194</v>
      </c>
      <c r="P35" t="s">
        <v>142</v>
      </c>
      <c r="Q35" t="s">
        <v>107</v>
      </c>
      <c r="R3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[Ctrl+k]</v>
      </c>
    </row>
    <row r="36" spans="15:18" x14ac:dyDescent="0.25">
      <c r="O36" t="s">
        <v>177</v>
      </c>
      <c r="P36" t="s">
        <v>142</v>
      </c>
      <c r="Q36" t="s">
        <v>108</v>
      </c>
      <c r="R3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[Ctrl+u]</v>
      </c>
    </row>
    <row r="37" spans="15:18" x14ac:dyDescent="0.25">
      <c r="O37" t="s">
        <v>174</v>
      </c>
      <c r="P37" t="s">
        <v>142</v>
      </c>
      <c r="Q37" t="s">
        <v>109</v>
      </c>
      <c r="R3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[Ctrl+n]</v>
      </c>
    </row>
    <row r="38" spans="15:18" x14ac:dyDescent="0.25">
      <c r="O38" t="s">
        <v>175</v>
      </c>
      <c r="P38" t="s">
        <v>142</v>
      </c>
      <c r="Q38" t="s">
        <v>110</v>
      </c>
      <c r="R3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[Ctrl+r]</v>
      </c>
    </row>
    <row r="39" spans="15:18" x14ac:dyDescent="0.25">
      <c r="O39" t="s">
        <v>168</v>
      </c>
      <c r="P39" t="s">
        <v>142</v>
      </c>
      <c r="Q39" t="s">
        <v>111</v>
      </c>
      <c r="R3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[Ctrl+a]</v>
      </c>
    </row>
    <row r="40" spans="15:18" x14ac:dyDescent="0.25">
      <c r="O40" t="s">
        <v>163</v>
      </c>
      <c r="P40" t="s">
        <v>142</v>
      </c>
      <c r="Q40" t="s">
        <v>112</v>
      </c>
      <c r="R4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[Ctrl+i]</v>
      </c>
    </row>
    <row r="41" spans="15:18" x14ac:dyDescent="0.25">
      <c r="O41" t="s">
        <v>158</v>
      </c>
      <c r="P41" t="s">
        <v>142</v>
      </c>
      <c r="Q41" t="s">
        <v>113</v>
      </c>
      <c r="R41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[Ctrl+j]</v>
      </c>
    </row>
    <row r="42" spans="15:18" x14ac:dyDescent="0.25">
      <c r="O42" t="s">
        <v>265</v>
      </c>
      <c r="P42" t="s">
        <v>142</v>
      </c>
      <c r="Q42" t="s">
        <v>114</v>
      </c>
      <c r="R42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[Alt+Ctrl+v]</v>
      </c>
    </row>
    <row r="43" spans="15:18" x14ac:dyDescent="0.25">
      <c r="O43" t="s">
        <v>264</v>
      </c>
      <c r="P43" t="s">
        <v>142</v>
      </c>
      <c r="Q43" t="s">
        <v>115</v>
      </c>
      <c r="R4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[Ctrl+May+L]</v>
      </c>
    </row>
    <row r="44" spans="15:18" x14ac:dyDescent="0.25">
      <c r="O44" t="s">
        <v>155</v>
      </c>
      <c r="P44" t="s">
        <v>142</v>
      </c>
      <c r="Q44" t="s">
        <v>116</v>
      </c>
      <c r="R4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[Ctrl+May+O]</v>
      </c>
    </row>
    <row r="45" spans="15:18" x14ac:dyDescent="0.25">
      <c r="O45" t="s">
        <v>179</v>
      </c>
      <c r="P45" t="s">
        <v>137</v>
      </c>
      <c r="Q45" t="s">
        <v>117</v>
      </c>
      <c r="R4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[Ctrl+x]</v>
      </c>
    </row>
    <row r="46" spans="15:18" x14ac:dyDescent="0.25">
      <c r="O46" t="s">
        <v>119</v>
      </c>
      <c r="P46" t="s">
        <v>142</v>
      </c>
      <c r="Q46" t="s">
        <v>120</v>
      </c>
      <c r="R4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[Alt+F1]</v>
      </c>
    </row>
    <row r="47" spans="15:18" x14ac:dyDescent="0.25">
      <c r="O47" t="s">
        <v>121</v>
      </c>
      <c r="P47" t="s">
        <v>142</v>
      </c>
      <c r="Q47" t="s">
        <v>122</v>
      </c>
      <c r="R4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[Alt+F2]</v>
      </c>
    </row>
    <row r="48" spans="15:18" x14ac:dyDescent="0.25">
      <c r="O48" t="s">
        <v>123</v>
      </c>
      <c r="P48" t="s">
        <v>142</v>
      </c>
      <c r="Q48" t="s">
        <v>124</v>
      </c>
      <c r="R4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[Alt+Ctrl+d]</v>
      </c>
    </row>
    <row r="49" spans="15:18" x14ac:dyDescent="0.25">
      <c r="O49" t="s">
        <v>179</v>
      </c>
      <c r="P49" t="s">
        <v>142</v>
      </c>
      <c r="Q49" t="s">
        <v>117</v>
      </c>
      <c r="R4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[Ctrl+x]</v>
      </c>
    </row>
    <row r="50" spans="15:18" x14ac:dyDescent="0.25">
      <c r="O50" t="s">
        <v>257</v>
      </c>
      <c r="P50" t="s">
        <v>142</v>
      </c>
      <c r="Q50" t="s">
        <v>258</v>
      </c>
      <c r="R5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[Alt+SPACE]</v>
      </c>
    </row>
    <row r="51" spans="15:18" x14ac:dyDescent="0.25">
      <c r="O51" t="s">
        <v>238</v>
      </c>
      <c r="P51" t="s">
        <v>142</v>
      </c>
      <c r="Q51" t="s">
        <v>237</v>
      </c>
      <c r="R51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[May+F2]</v>
      </c>
    </row>
    <row r="52" spans="15:18" x14ac:dyDescent="0.25">
      <c r="O52" t="s">
        <v>195</v>
      </c>
      <c r="P52" t="s">
        <v>142</v>
      </c>
      <c r="Q52" t="s">
        <v>188</v>
      </c>
      <c r="R52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[Ctrl+5]</v>
      </c>
    </row>
    <row r="53" spans="15:18" x14ac:dyDescent="0.25">
      <c r="O53" t="s">
        <v>208</v>
      </c>
      <c r="P53" t="s">
        <v>142</v>
      </c>
      <c r="Q53" t="s">
        <v>209</v>
      </c>
      <c r="R5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[Ctrl+/]</v>
      </c>
    </row>
    <row r="54" spans="15:18" x14ac:dyDescent="0.25">
      <c r="O54" t="s">
        <v>204</v>
      </c>
      <c r="P54" t="s">
        <v>142</v>
      </c>
      <c r="Q54" t="s">
        <v>205</v>
      </c>
      <c r="R5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[Alt+Ctrl+%]</v>
      </c>
    </row>
    <row r="55" spans="15:18" x14ac:dyDescent="0.25">
      <c r="O55" t="s">
        <v>194</v>
      </c>
      <c r="P55" t="s">
        <v>142</v>
      </c>
      <c r="Q55" t="s">
        <v>186</v>
      </c>
      <c r="R5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[Ctrl+3]</v>
      </c>
    </row>
    <row r="56" spans="15:18" x14ac:dyDescent="0.25">
      <c r="O56" t="s">
        <v>202</v>
      </c>
      <c r="P56" t="s">
        <v>142</v>
      </c>
      <c r="Q56" t="s">
        <v>203</v>
      </c>
      <c r="R5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[Ctrl+$]</v>
      </c>
    </row>
    <row r="57" spans="15:18" x14ac:dyDescent="0.25">
      <c r="O57" t="s">
        <v>174</v>
      </c>
      <c r="P57" t="s">
        <v>142</v>
      </c>
      <c r="Q57" t="s">
        <v>185</v>
      </c>
      <c r="R5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[Ctrl+2]</v>
      </c>
    </row>
    <row r="58" spans="15:18" x14ac:dyDescent="0.25">
      <c r="O58" t="s">
        <v>201</v>
      </c>
      <c r="P58" t="s">
        <v>142</v>
      </c>
      <c r="Q58" t="s">
        <v>200</v>
      </c>
      <c r="R5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[Ctrl+!]</v>
      </c>
    </row>
    <row r="59" spans="15:18" x14ac:dyDescent="0.25">
      <c r="O59" t="s">
        <v>207</v>
      </c>
      <c r="P59" t="s">
        <v>142</v>
      </c>
      <c r="Q59" t="s">
        <v>206</v>
      </c>
      <c r="R5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[Ctrl+&amp;]</v>
      </c>
    </row>
    <row r="60" spans="15:18" x14ac:dyDescent="0.25">
      <c r="O60" t="s">
        <v>251</v>
      </c>
      <c r="P60" t="s">
        <v>142</v>
      </c>
      <c r="Q60" t="s">
        <v>252</v>
      </c>
      <c r="R6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[May+F9]</v>
      </c>
    </row>
    <row r="61" spans="15:18" x14ac:dyDescent="0.25">
      <c r="O61" t="s">
        <v>246</v>
      </c>
      <c r="P61" t="s">
        <v>142</v>
      </c>
      <c r="Q61" t="s">
        <v>245</v>
      </c>
      <c r="R61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[May+F6]</v>
      </c>
    </row>
    <row r="62" spans="15:18" x14ac:dyDescent="0.25">
      <c r="O62" t="s">
        <v>221</v>
      </c>
      <c r="P62" t="s">
        <v>142</v>
      </c>
      <c r="Q62" t="s">
        <v>222</v>
      </c>
      <c r="R62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[Ctrl+F4]</v>
      </c>
    </row>
    <row r="63" spans="15:18" x14ac:dyDescent="0.25">
      <c r="O63" t="s">
        <v>159</v>
      </c>
      <c r="P63" t="s">
        <v>142</v>
      </c>
      <c r="Q63" t="s">
        <v>160</v>
      </c>
      <c r="R6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[Ctrl+d]</v>
      </c>
    </row>
    <row r="64" spans="15:18" x14ac:dyDescent="0.25">
      <c r="O64" t="s">
        <v>165</v>
      </c>
      <c r="P64" t="s">
        <v>142</v>
      </c>
      <c r="Q64" t="s">
        <v>164</v>
      </c>
      <c r="R6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[F11]</v>
      </c>
    </row>
    <row r="65" spans="15:18" x14ac:dyDescent="0.25">
      <c r="O65" t="s">
        <v>183</v>
      </c>
      <c r="P65" t="s">
        <v>142</v>
      </c>
      <c r="Q65" t="s">
        <v>181</v>
      </c>
      <c r="R6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[Ctrl+z]</v>
      </c>
    </row>
    <row r="66" spans="15:18" x14ac:dyDescent="0.25">
      <c r="O66" t="s">
        <v>241</v>
      </c>
      <c r="P66" t="s">
        <v>142</v>
      </c>
      <c r="Q66" t="s">
        <v>242</v>
      </c>
      <c r="R6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[May+F4]</v>
      </c>
    </row>
    <row r="67" spans="15:18" x14ac:dyDescent="0.25">
      <c r="O67" t="s">
        <v>171</v>
      </c>
      <c r="P67" t="s">
        <v>142</v>
      </c>
      <c r="Q67" t="s">
        <v>172</v>
      </c>
      <c r="R6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[Ctrl+g]</v>
      </c>
    </row>
    <row r="68" spans="15:18" x14ac:dyDescent="0.25">
      <c r="O68" t="s">
        <v>253</v>
      </c>
      <c r="P68" t="s">
        <v>142</v>
      </c>
      <c r="Q68" t="s">
        <v>254</v>
      </c>
      <c r="R6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[May+F11]</v>
      </c>
    </row>
    <row r="69" spans="15:18" x14ac:dyDescent="0.25">
      <c r="O69" t="s">
        <v>233</v>
      </c>
      <c r="P69" t="s">
        <v>142</v>
      </c>
      <c r="Q69" t="s">
        <v>234</v>
      </c>
      <c r="R6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[Ctrl+F10]</v>
      </c>
    </row>
    <row r="70" spans="15:18" x14ac:dyDescent="0.25">
      <c r="O70" t="s">
        <v>231</v>
      </c>
      <c r="P70" t="s">
        <v>142</v>
      </c>
      <c r="Q70" t="s">
        <v>232</v>
      </c>
      <c r="R7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[Ctrl+F9]</v>
      </c>
    </row>
    <row r="71" spans="15:18" x14ac:dyDescent="0.25">
      <c r="O71" t="s">
        <v>161</v>
      </c>
      <c r="P71" t="s">
        <v>142</v>
      </c>
      <c r="Q71" t="s">
        <v>162</v>
      </c>
      <c r="R71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[F2]</v>
      </c>
    </row>
    <row r="72" spans="15:18" x14ac:dyDescent="0.25">
      <c r="O72" t="s">
        <v>261</v>
      </c>
      <c r="P72" t="s">
        <v>142</v>
      </c>
      <c r="Q72" t="s">
        <v>262</v>
      </c>
      <c r="R72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[Ctrl+May+F6]</v>
      </c>
    </row>
    <row r="73" spans="15:18" x14ac:dyDescent="0.25">
      <c r="O73" t="s">
        <v>225</v>
      </c>
      <c r="P73" t="s">
        <v>142</v>
      </c>
      <c r="Q73" t="s">
        <v>226</v>
      </c>
      <c r="R7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[Ctrl+F6]</v>
      </c>
    </row>
    <row r="74" spans="15:18" x14ac:dyDescent="0.25">
      <c r="O74" t="s">
        <v>213</v>
      </c>
      <c r="P74" t="s">
        <v>142</v>
      </c>
      <c r="Q74" t="s">
        <v>212</v>
      </c>
      <c r="R7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[Ctrl+)]</v>
      </c>
    </row>
    <row r="75" spans="15:18" x14ac:dyDescent="0.25">
      <c r="O75" t="s">
        <v>166</v>
      </c>
      <c r="P75" t="s">
        <v>142</v>
      </c>
      <c r="Q75" t="s">
        <v>167</v>
      </c>
      <c r="R7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[F12]</v>
      </c>
    </row>
    <row r="76" spans="15:18" x14ac:dyDescent="0.25">
      <c r="O76" t="s">
        <v>169</v>
      </c>
      <c r="P76" t="s">
        <v>142</v>
      </c>
      <c r="Q76" t="s">
        <v>170</v>
      </c>
      <c r="R7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[Ctrl+b]</v>
      </c>
    </row>
    <row r="77" spans="15:18" x14ac:dyDescent="0.25">
      <c r="O77" t="s">
        <v>240</v>
      </c>
      <c r="P77" t="s">
        <v>142</v>
      </c>
      <c r="Q77" t="s">
        <v>239</v>
      </c>
      <c r="R7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[May+F3]</v>
      </c>
    </row>
    <row r="78" spans="15:18" x14ac:dyDescent="0.25">
      <c r="O78" t="s">
        <v>236</v>
      </c>
      <c r="P78" t="s">
        <v>142</v>
      </c>
      <c r="Q78" t="s">
        <v>235</v>
      </c>
      <c r="R7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[Ctrl+F12]</v>
      </c>
    </row>
    <row r="79" spans="15:18" x14ac:dyDescent="0.25">
      <c r="O79" t="s">
        <v>243</v>
      </c>
      <c r="P79" t="s">
        <v>142</v>
      </c>
      <c r="Q79" t="s">
        <v>244</v>
      </c>
      <c r="R7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[May+F5]</v>
      </c>
    </row>
    <row r="80" spans="15:18" x14ac:dyDescent="0.25">
      <c r="O80" t="s">
        <v>216</v>
      </c>
      <c r="P80" t="s">
        <v>142</v>
      </c>
      <c r="Q80" t="s">
        <v>217</v>
      </c>
      <c r="R8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[Ctrl+-]</v>
      </c>
    </row>
    <row r="81" spans="15:18" x14ac:dyDescent="0.25">
      <c r="O81" t="s">
        <v>260</v>
      </c>
      <c r="P81" t="s">
        <v>142</v>
      </c>
      <c r="Q81" t="s">
        <v>259</v>
      </c>
      <c r="R81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[Alt+']</v>
      </c>
    </row>
    <row r="82" spans="15:18" x14ac:dyDescent="0.25">
      <c r="O82" t="s">
        <v>193</v>
      </c>
      <c r="P82" t="s">
        <v>142</v>
      </c>
      <c r="Q82" t="s">
        <v>184</v>
      </c>
      <c r="R82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[Ctrl+1]</v>
      </c>
    </row>
    <row r="83" spans="15:18" x14ac:dyDescent="0.25">
      <c r="O83" t="s">
        <v>255</v>
      </c>
      <c r="P83" t="s">
        <v>142</v>
      </c>
      <c r="Q83" t="s">
        <v>256</v>
      </c>
      <c r="R8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[May+F12]</v>
      </c>
    </row>
    <row r="84" spans="15:18" x14ac:dyDescent="0.25">
      <c r="O84" t="s">
        <v>218</v>
      </c>
      <c r="P84" t="s">
        <v>142</v>
      </c>
      <c r="Q84" t="s">
        <v>219</v>
      </c>
      <c r="R8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[Ctrl+May++]</v>
      </c>
    </row>
    <row r="85" spans="15:18" x14ac:dyDescent="0.25">
      <c r="O85" t="s">
        <v>247</v>
      </c>
      <c r="P85" t="s">
        <v>142</v>
      </c>
      <c r="Q85" t="s">
        <v>248</v>
      </c>
      <c r="R8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[May+F7]</v>
      </c>
    </row>
    <row r="86" spans="15:18" x14ac:dyDescent="0.25">
      <c r="O86" t="s">
        <v>210</v>
      </c>
      <c r="P86" t="s">
        <v>142</v>
      </c>
      <c r="Q86" t="s">
        <v>211</v>
      </c>
      <c r="R8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[Ctrl+(]</v>
      </c>
    </row>
    <row r="87" spans="15:18" x14ac:dyDescent="0.25">
      <c r="O87" t="s">
        <v>197</v>
      </c>
      <c r="P87" t="s">
        <v>142</v>
      </c>
      <c r="Q87" t="s">
        <v>190</v>
      </c>
      <c r="R8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[Ctrl+8]</v>
      </c>
    </row>
    <row r="88" spans="15:18" x14ac:dyDescent="0.25">
      <c r="O88" t="s">
        <v>199</v>
      </c>
      <c r="P88" t="s">
        <v>142</v>
      </c>
      <c r="Q88" t="s">
        <v>192</v>
      </c>
      <c r="R8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[Ctrl+0]</v>
      </c>
    </row>
    <row r="89" spans="15:18" x14ac:dyDescent="0.25">
      <c r="O89" t="s">
        <v>198</v>
      </c>
      <c r="P89" t="s">
        <v>142</v>
      </c>
      <c r="Q89" t="s">
        <v>191</v>
      </c>
      <c r="R8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[Ctrl+9]</v>
      </c>
    </row>
    <row r="90" spans="15:18" x14ac:dyDescent="0.25">
      <c r="O90" t="s">
        <v>196</v>
      </c>
      <c r="P90" t="s">
        <v>142</v>
      </c>
      <c r="Q90" t="s">
        <v>189</v>
      </c>
      <c r="R9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[Ctrl+6]</v>
      </c>
    </row>
    <row r="91" spans="15:18" x14ac:dyDescent="0.25">
      <c r="O91" t="s">
        <v>249</v>
      </c>
      <c r="P91" t="s">
        <v>142</v>
      </c>
      <c r="Q91" t="s">
        <v>250</v>
      </c>
      <c r="R91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[May+F8]</v>
      </c>
    </row>
    <row r="92" spans="15:18" x14ac:dyDescent="0.25">
      <c r="O92" t="s">
        <v>229</v>
      </c>
      <c r="P92" t="s">
        <v>142</v>
      </c>
      <c r="Q92" t="s">
        <v>230</v>
      </c>
      <c r="R92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[Ctrl+F8]</v>
      </c>
    </row>
    <row r="93" spans="15:18" x14ac:dyDescent="0.25">
      <c r="O93" t="s">
        <v>228</v>
      </c>
      <c r="P93" t="s">
        <v>142</v>
      </c>
      <c r="Q93" t="s">
        <v>227</v>
      </c>
      <c r="R93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[Ctrl+F7]</v>
      </c>
    </row>
    <row r="94" spans="15:18" x14ac:dyDescent="0.25">
      <c r="O94" t="s">
        <v>182</v>
      </c>
      <c r="P94" t="s">
        <v>142</v>
      </c>
      <c r="Q94" t="s">
        <v>180</v>
      </c>
      <c r="R94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[Ctrl+y]</v>
      </c>
    </row>
    <row r="95" spans="15:18" x14ac:dyDescent="0.25">
      <c r="O95" t="s">
        <v>214</v>
      </c>
      <c r="P95" t="s">
        <v>142</v>
      </c>
      <c r="Q95" t="s">
        <v>215</v>
      </c>
      <c r="R95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[Ctrl+_]</v>
      </c>
    </row>
    <row r="96" spans="15:18" x14ac:dyDescent="0.25">
      <c r="O96" t="s">
        <v>224</v>
      </c>
      <c r="P96" t="s">
        <v>142</v>
      </c>
      <c r="Q96" t="s">
        <v>223</v>
      </c>
      <c r="R96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[Ctrl+F5]</v>
      </c>
    </row>
    <row r="97" spans="15:18" x14ac:dyDescent="0.25">
      <c r="O97" t="s">
        <v>268</v>
      </c>
      <c r="P97" t="s">
        <v>142</v>
      </c>
      <c r="Q97" t="s">
        <v>266</v>
      </c>
      <c r="R97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[Alt+Ctrl+RIGHT]</v>
      </c>
    </row>
    <row r="98" spans="15:18" x14ac:dyDescent="0.25">
      <c r="O98" t="s">
        <v>269</v>
      </c>
      <c r="P98" t="s">
        <v>142</v>
      </c>
      <c r="Q98" t="s">
        <v>267</v>
      </c>
      <c r="R98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[Alt+Ctrl+LEFT]</v>
      </c>
    </row>
    <row r="99" spans="15:18" x14ac:dyDescent="0.25">
      <c r="O99" t="s">
        <v>157</v>
      </c>
      <c r="P99" t="s">
        <v>142</v>
      </c>
      <c r="Q99" t="s">
        <v>156</v>
      </c>
      <c r="R99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[Ctrl+e]</v>
      </c>
    </row>
    <row r="100" spans="15:18" x14ac:dyDescent="0.25">
      <c r="O100" t="s">
        <v>176</v>
      </c>
      <c r="P100" t="s">
        <v>142</v>
      </c>
      <c r="Q100" t="s">
        <v>187</v>
      </c>
      <c r="R100" t="str">
        <f>IFERROR(IF(T_Atajos[[#This Row],[Teclas]]="","","["&amp;IFERROR(REPLACE(SEARCH("%",T_Atajos[[#This Row],[Teclas]],1),1,1,"Alt+"),"")&amp;        IFERROR(REPLACE(SEARCH("^",T_Atajos[[#This Row],[Teclas]],1),1,1,"Ctrl+"),"")&amp;
                                                                      IFERROR(REPLACE(SEARCH("+",T_Atajos[[#This Row],[Teclas]],1),1,1,"May+"),"")&amp;        IF(IFERROR(SEARCH("+",T_Atajos[[#This Row],[Teclas]],1),"")&lt;&gt;"",
UPPER(MID(T_Atajos[[#This Row],[Teclas]],FIND("{",T_Atajos[[#This Row],[Teclas]],1)+1,LEN(T_Atajos[[#This Row],[Teclas]])-FIND("{",T_Atajos[[#This Row],[Teclas]],1)-1)),
                   MID(T_Atajos[[#This Row],[Teclas]],FIND("{",T_Atajos[[#This Row],[Teclas]],1)+1,LEN(T_Atajos[[#This Row],[Teclas]])-FIND("{",T_Atajos[[#This Row],[Teclas]],1)-1))&amp;"]"),"")</f>
        <v>[Ctrl+4]</v>
      </c>
    </row>
  </sheetData>
  <conditionalFormatting sqref="D3:D22">
    <cfRule type="duplicateValues" dxfId="42" priority="23"/>
  </conditionalFormatting>
  <dataValidations disablePrompts="1" count="5">
    <dataValidation type="list" allowBlank="1" showInputMessage="1" showErrorMessage="1" promptTitle="Activa-Desactiva" prompt="Si quieres desactivar el comando, selecciona FALSE." sqref="V3:V8 Z3:AC7">
      <formula1>"True,False"</formula1>
    </dataValidation>
    <dataValidation type="list" allowBlank="1" sqref="P3:P100">
      <formula1>No_Desact</formula1>
    </dataValidation>
    <dataValidation type="list" allowBlank="1" showInputMessage="1" showErrorMessage="1" sqref="G3:G22">
      <formula1>"True,False"</formula1>
    </dataValidation>
    <dataValidation type="list" allowBlank="1" sqref="I3:I22">
      <formula1>Ninguna</formula1>
    </dataValidation>
    <dataValidation type="list" allowBlank="1" showInputMessage="1" showErrorMessage="1" sqref="Y3:Y7">
      <formula1>"0,1"</formula1>
    </dataValidation>
  </dataValidations>
  <pageMargins left="0.19685039370078741" right="0.19685039370078741" top="0.39370078740157483" bottom="0.39370078740157483" header="0.39370078740157483" footer="0.39370078740157483"/>
  <pageSetup paperSize="9" scale="47" fitToHeight="2" orientation="landscape" horizontalDpi="1200" verticalDpi="120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D13"/>
  <sheetViews>
    <sheetView showRowColHeaders="0" zoomScale="160" zoomScaleNormal="160" workbookViewId="0">
      <selection activeCell="C11" sqref="C11"/>
    </sheetView>
  </sheetViews>
  <sheetFormatPr baseColWidth="10" defaultRowHeight="15" x14ac:dyDescent="0.25"/>
  <sheetData>
    <row r="2" spans="2:4" x14ac:dyDescent="0.25">
      <c r="B2" s="27" t="s">
        <v>56</v>
      </c>
    </row>
    <row r="13" spans="2:4" x14ac:dyDescent="0.25">
      <c r="D13" s="2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D11"/>
  <sheetViews>
    <sheetView zoomScale="160" zoomScaleNormal="160" workbookViewId="0">
      <selection activeCell="E11" sqref="E11"/>
    </sheetView>
  </sheetViews>
  <sheetFormatPr baseColWidth="10" defaultRowHeight="15" x14ac:dyDescent="0.25"/>
  <sheetData>
    <row r="2" spans="2:4" x14ac:dyDescent="0.25">
      <c r="B2" t="s">
        <v>57</v>
      </c>
    </row>
    <row r="11" spans="2:4" x14ac:dyDescent="0.25">
      <c r="D11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"/>
  <sheetViews>
    <sheetView zoomScale="175" zoomScaleNormal="175" workbookViewId="0">
      <selection activeCell="C10" sqref="C10"/>
    </sheetView>
  </sheetViews>
  <sheetFormatPr baseColWidth="10" defaultRowHeight="15" x14ac:dyDescent="0.25"/>
  <sheetData>
    <row r="2" spans="2:2" x14ac:dyDescent="0.25">
      <c r="B2" t="s">
        <v>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97"/>
  <sheetViews>
    <sheetView zoomScale="130" zoomScaleNormal="13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82.140625" bestFit="1" customWidth="1"/>
    <col min="2" max="2" width="10.28515625" bestFit="1" customWidth="1"/>
    <col min="3" max="3" width="14.28515625" bestFit="1" customWidth="1"/>
    <col min="4" max="4" width="21.85546875" bestFit="1" customWidth="1"/>
    <col min="5" max="5" width="9.7109375" customWidth="1"/>
    <col min="6" max="6" width="14.140625" customWidth="1"/>
    <col min="7" max="7" width="10" bestFit="1" customWidth="1"/>
    <col min="8" max="8" width="21.28515625" customWidth="1"/>
    <col min="12" max="12" width="13.7109375" customWidth="1"/>
  </cols>
  <sheetData>
    <row r="1" spans="1:3" x14ac:dyDescent="0.25">
      <c r="A1" t="s">
        <v>0</v>
      </c>
      <c r="B1" t="s">
        <v>21</v>
      </c>
      <c r="C1" t="s">
        <v>20</v>
      </c>
    </row>
    <row r="2" spans="1:3" x14ac:dyDescent="0.25">
      <c r="A2" t="s">
        <v>118</v>
      </c>
      <c r="B2" t="s">
        <v>59</v>
      </c>
      <c r="C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[Esc]</v>
      </c>
    </row>
    <row r="3" spans="1:3" x14ac:dyDescent="0.25">
      <c r="A3" t="s">
        <v>60</v>
      </c>
      <c r="B3" t="s">
        <v>72</v>
      </c>
      <c r="C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[Ctrl+F2]</v>
      </c>
    </row>
    <row r="4" spans="1:3" x14ac:dyDescent="0.25">
      <c r="A4" t="s">
        <v>61</v>
      </c>
      <c r="B4" t="s">
        <v>73</v>
      </c>
      <c r="C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[Ctrl+F3]</v>
      </c>
    </row>
    <row r="5" spans="1:3" x14ac:dyDescent="0.25">
      <c r="A5" t="s">
        <v>62</v>
      </c>
      <c r="B5" t="s">
        <v>74</v>
      </c>
      <c r="C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[Ctrl+May+F3]</v>
      </c>
    </row>
    <row r="6" spans="1:3" x14ac:dyDescent="0.25">
      <c r="A6" t="s">
        <v>63</v>
      </c>
      <c r="B6" t="s">
        <v>75</v>
      </c>
      <c r="C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[F3]</v>
      </c>
    </row>
    <row r="7" spans="1:3" x14ac:dyDescent="0.25">
      <c r="A7" t="s">
        <v>163</v>
      </c>
      <c r="B7" t="s">
        <v>76</v>
      </c>
      <c r="C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[F5]</v>
      </c>
    </row>
    <row r="8" spans="1:3" x14ac:dyDescent="0.25">
      <c r="A8" t="s">
        <v>64</v>
      </c>
      <c r="B8" t="s">
        <v>77</v>
      </c>
      <c r="C8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[Alt+F8]</v>
      </c>
    </row>
    <row r="9" spans="1:3" x14ac:dyDescent="0.25">
      <c r="A9" t="s">
        <v>65</v>
      </c>
      <c r="B9" t="s">
        <v>78</v>
      </c>
      <c r="C9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[Alt+F10]</v>
      </c>
    </row>
    <row r="10" spans="1:3" x14ac:dyDescent="0.25">
      <c r="A10" t="s">
        <v>66</v>
      </c>
      <c r="B10" t="s">
        <v>79</v>
      </c>
      <c r="C10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[F10]</v>
      </c>
    </row>
    <row r="11" spans="1:3" x14ac:dyDescent="0.25">
      <c r="A11" t="s">
        <v>67</v>
      </c>
      <c r="B11" t="s">
        <v>80</v>
      </c>
      <c r="C11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[May+F10]</v>
      </c>
    </row>
    <row r="12" spans="1:3" x14ac:dyDescent="0.25">
      <c r="A12" t="s">
        <v>68</v>
      </c>
      <c r="B12" t="s">
        <v>55</v>
      </c>
      <c r="C1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[Alt+F11]</v>
      </c>
    </row>
    <row r="13" spans="1:3" x14ac:dyDescent="0.25">
      <c r="A13" t="s">
        <v>69</v>
      </c>
      <c r="B13" t="s">
        <v>81</v>
      </c>
      <c r="C1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[Ctrl+F11]</v>
      </c>
    </row>
    <row r="14" spans="1:3" x14ac:dyDescent="0.25">
      <c r="A14" t="s">
        <v>70</v>
      </c>
      <c r="B14" t="s">
        <v>82</v>
      </c>
      <c r="C1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[Ctrl+May+F12]</v>
      </c>
    </row>
    <row r="15" spans="1:3" x14ac:dyDescent="0.25">
      <c r="A15" t="s">
        <v>71</v>
      </c>
      <c r="B15" t="s">
        <v>83</v>
      </c>
      <c r="C1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[Ctrl+p]</v>
      </c>
    </row>
    <row r="16" spans="1:3" x14ac:dyDescent="0.25">
      <c r="A16" t="s">
        <v>138</v>
      </c>
      <c r="B16" t="s">
        <v>91</v>
      </c>
      <c r="C1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[Ctrl+t]</v>
      </c>
    </row>
    <row r="17" spans="1:3" x14ac:dyDescent="0.25">
      <c r="A17" t="s">
        <v>84</v>
      </c>
      <c r="B17" t="s">
        <v>92</v>
      </c>
      <c r="C1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[Alt+m]</v>
      </c>
    </row>
    <row r="18" spans="1:3" x14ac:dyDescent="0.25">
      <c r="A18" t="s">
        <v>84</v>
      </c>
      <c r="B18" t="s">
        <v>93</v>
      </c>
      <c r="C18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[Ctrl+May+F10]</v>
      </c>
    </row>
    <row r="19" spans="1:3" x14ac:dyDescent="0.25">
      <c r="A19" t="s">
        <v>85</v>
      </c>
      <c r="B19" t="s">
        <v>94</v>
      </c>
      <c r="C19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[Ctrl+May+U]</v>
      </c>
    </row>
    <row r="20" spans="1:3" x14ac:dyDescent="0.25">
      <c r="A20" t="s">
        <v>86</v>
      </c>
      <c r="B20" t="s">
        <v>95</v>
      </c>
      <c r="C20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[Alt+DOWN]</v>
      </c>
    </row>
    <row r="21" spans="1:3" x14ac:dyDescent="0.25">
      <c r="A21" t="s">
        <v>87</v>
      </c>
      <c r="B21" t="s">
        <v>96</v>
      </c>
      <c r="C21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[TAB]</v>
      </c>
    </row>
    <row r="22" spans="1:3" x14ac:dyDescent="0.25">
      <c r="A22" t="s">
        <v>88</v>
      </c>
      <c r="B22" t="s">
        <v>97</v>
      </c>
      <c r="C2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[May+TAB]</v>
      </c>
    </row>
    <row r="23" spans="1:3" x14ac:dyDescent="0.25">
      <c r="A23" t="s">
        <v>89</v>
      </c>
      <c r="B23" t="s">
        <v>98</v>
      </c>
      <c r="C2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[Alt+t]</v>
      </c>
    </row>
    <row r="24" spans="1:3" x14ac:dyDescent="0.25">
      <c r="A24" t="s">
        <v>90</v>
      </c>
      <c r="B24" t="s">
        <v>99</v>
      </c>
      <c r="C2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[Alt+LEFT]</v>
      </c>
    </row>
    <row r="25" spans="1:3" x14ac:dyDescent="0.25">
      <c r="A25" t="s">
        <v>263</v>
      </c>
      <c r="B25" t="s">
        <v>105</v>
      </c>
      <c r="C2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[Ctrl+May+F]</v>
      </c>
    </row>
    <row r="26" spans="1:3" x14ac:dyDescent="0.25">
      <c r="A26" t="s">
        <v>194</v>
      </c>
      <c r="B26" t="s">
        <v>107</v>
      </c>
      <c r="C2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[Ctrl+k]</v>
      </c>
    </row>
    <row r="27" spans="1:3" x14ac:dyDescent="0.25">
      <c r="A27" t="s">
        <v>177</v>
      </c>
      <c r="B27" t="s">
        <v>108</v>
      </c>
      <c r="C2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[Ctrl+u]</v>
      </c>
    </row>
    <row r="28" spans="1:3" x14ac:dyDescent="0.25">
      <c r="A28" t="s">
        <v>174</v>
      </c>
      <c r="B28" t="s">
        <v>109</v>
      </c>
      <c r="C28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[Ctrl+n]</v>
      </c>
    </row>
    <row r="29" spans="1:3" x14ac:dyDescent="0.25">
      <c r="A29" t="s">
        <v>175</v>
      </c>
      <c r="B29" t="s">
        <v>110</v>
      </c>
      <c r="C29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[Ctrl+r]</v>
      </c>
    </row>
    <row r="30" spans="1:3" x14ac:dyDescent="0.25">
      <c r="A30" t="s">
        <v>168</v>
      </c>
      <c r="B30" t="s">
        <v>111</v>
      </c>
      <c r="C30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[Ctrl+a]</v>
      </c>
    </row>
    <row r="31" spans="1:3" x14ac:dyDescent="0.25">
      <c r="A31" t="s">
        <v>163</v>
      </c>
      <c r="B31" t="s">
        <v>112</v>
      </c>
      <c r="C31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[Ctrl+i]</v>
      </c>
    </row>
    <row r="32" spans="1:3" x14ac:dyDescent="0.25">
      <c r="A32" t="s">
        <v>158</v>
      </c>
      <c r="B32" t="s">
        <v>113</v>
      </c>
      <c r="C3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[Ctrl+j]</v>
      </c>
    </row>
    <row r="33" spans="1:3" x14ac:dyDescent="0.25">
      <c r="A33" t="s">
        <v>265</v>
      </c>
      <c r="B33" t="s">
        <v>114</v>
      </c>
      <c r="C3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[Alt+Ctrl+v]</v>
      </c>
    </row>
    <row r="34" spans="1:3" x14ac:dyDescent="0.25">
      <c r="A34" t="s">
        <v>155</v>
      </c>
      <c r="B34" t="s">
        <v>116</v>
      </c>
      <c r="C3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[Ctrl+May+O]</v>
      </c>
    </row>
    <row r="35" spans="1:3" x14ac:dyDescent="0.25">
      <c r="A35" t="s">
        <v>119</v>
      </c>
      <c r="B35" t="s">
        <v>120</v>
      </c>
      <c r="C3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[Alt+F1]</v>
      </c>
    </row>
    <row r="36" spans="1:3" x14ac:dyDescent="0.25">
      <c r="A36" t="s">
        <v>121</v>
      </c>
      <c r="B36" t="s">
        <v>122</v>
      </c>
      <c r="C3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[Alt+F2]</v>
      </c>
    </row>
    <row r="37" spans="1:3" x14ac:dyDescent="0.25">
      <c r="A37" t="s">
        <v>123</v>
      </c>
      <c r="B37" t="s">
        <v>124</v>
      </c>
      <c r="C3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[Alt+Ctrl+d]</v>
      </c>
    </row>
    <row r="38" spans="1:3" x14ac:dyDescent="0.25">
      <c r="A38" t="s">
        <v>179</v>
      </c>
      <c r="B38" t="s">
        <v>117</v>
      </c>
      <c r="C38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[Ctrl+x]</v>
      </c>
    </row>
    <row r="39" spans="1:3" x14ac:dyDescent="0.25">
      <c r="A39" t="s">
        <v>195</v>
      </c>
      <c r="B39" t="s">
        <v>188</v>
      </c>
      <c r="C39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[Ctrl+5]</v>
      </c>
    </row>
    <row r="40" spans="1:3" x14ac:dyDescent="0.25">
      <c r="A40" t="s">
        <v>194</v>
      </c>
      <c r="B40" t="s">
        <v>186</v>
      </c>
      <c r="C40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[Ctrl+3]</v>
      </c>
    </row>
    <row r="41" spans="1:3" x14ac:dyDescent="0.25">
      <c r="A41" t="s">
        <v>174</v>
      </c>
      <c r="B41" t="s">
        <v>185</v>
      </c>
      <c r="C41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[Ctrl+2]</v>
      </c>
    </row>
    <row r="42" spans="1:3" x14ac:dyDescent="0.25">
      <c r="A42" t="s">
        <v>183</v>
      </c>
      <c r="B42" t="s">
        <v>181</v>
      </c>
      <c r="C4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[Ctrl+z]</v>
      </c>
    </row>
    <row r="43" spans="1:3" x14ac:dyDescent="0.25">
      <c r="A43" t="s">
        <v>169</v>
      </c>
      <c r="B43" t="s">
        <v>170</v>
      </c>
      <c r="C4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[Ctrl+b]</v>
      </c>
    </row>
    <row r="44" spans="1:3" x14ac:dyDescent="0.25">
      <c r="A44" t="s">
        <v>193</v>
      </c>
      <c r="B44" t="s">
        <v>184</v>
      </c>
      <c r="C4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[Ctrl+1]</v>
      </c>
    </row>
    <row r="45" spans="1:3" x14ac:dyDescent="0.25">
      <c r="A45" t="s">
        <v>197</v>
      </c>
      <c r="B45" t="s">
        <v>190</v>
      </c>
      <c r="C4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[Ctrl+8]</v>
      </c>
    </row>
    <row r="46" spans="1:3" x14ac:dyDescent="0.25">
      <c r="A46" t="s">
        <v>199</v>
      </c>
      <c r="B46" t="s">
        <v>192</v>
      </c>
      <c r="C4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[Ctrl+0]</v>
      </c>
    </row>
    <row r="47" spans="1:3" x14ac:dyDescent="0.25">
      <c r="A47" t="s">
        <v>198</v>
      </c>
      <c r="B47" t="s">
        <v>191</v>
      </c>
      <c r="C4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[Ctrl+9]</v>
      </c>
    </row>
    <row r="48" spans="1:3" x14ac:dyDescent="0.25">
      <c r="A48" t="s">
        <v>196</v>
      </c>
      <c r="B48" t="s">
        <v>189</v>
      </c>
      <c r="C48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[Ctrl+6]</v>
      </c>
    </row>
    <row r="49" spans="1:3" x14ac:dyDescent="0.25">
      <c r="A49" t="s">
        <v>182</v>
      </c>
      <c r="B49" t="s">
        <v>180</v>
      </c>
      <c r="C49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[Ctrl+y]</v>
      </c>
    </row>
    <row r="50" spans="1:3" x14ac:dyDescent="0.25">
      <c r="A50" t="s">
        <v>176</v>
      </c>
      <c r="B50" t="s">
        <v>187</v>
      </c>
      <c r="C50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[Ctrl+4]</v>
      </c>
    </row>
    <row r="51" spans="1:3" x14ac:dyDescent="0.25">
      <c r="A51" t="s">
        <v>25</v>
      </c>
      <c r="B51" t="s">
        <v>27</v>
      </c>
      <c r="C51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[Ctrl+May+M]</v>
      </c>
    </row>
    <row r="52" spans="1:3" x14ac:dyDescent="0.25">
      <c r="A52" t="s">
        <v>220</v>
      </c>
      <c r="B52" t="s">
        <v>100</v>
      </c>
      <c r="C5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[Ctrl+F1]</v>
      </c>
    </row>
    <row r="53" spans="1:3" x14ac:dyDescent="0.25">
      <c r="A53" t="s">
        <v>176</v>
      </c>
      <c r="B53" t="s">
        <v>101</v>
      </c>
      <c r="C5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[Ctrl+s]</v>
      </c>
    </row>
    <row r="54" spans="1:3" x14ac:dyDescent="0.25">
      <c r="A54" t="s">
        <v>153</v>
      </c>
      <c r="B54" t="s">
        <v>102</v>
      </c>
      <c r="C5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[Alt+F4]</v>
      </c>
    </row>
    <row r="55" spans="1:3" x14ac:dyDescent="0.25">
      <c r="A55" t="s">
        <v>154</v>
      </c>
      <c r="B55" t="s">
        <v>103</v>
      </c>
      <c r="C5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[Ctrl+c]</v>
      </c>
    </row>
    <row r="56" spans="1:3" x14ac:dyDescent="0.25">
      <c r="A56" t="s">
        <v>178</v>
      </c>
      <c r="B56" t="s">
        <v>104</v>
      </c>
      <c r="C5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[Ctrl+v]</v>
      </c>
    </row>
    <row r="57" spans="1:3" x14ac:dyDescent="0.25">
      <c r="A57" t="s">
        <v>173</v>
      </c>
      <c r="B57" t="s">
        <v>106</v>
      </c>
      <c r="C5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[Ctrl+L]</v>
      </c>
    </row>
    <row r="58" spans="1:3" x14ac:dyDescent="0.25">
      <c r="A58" t="s">
        <v>264</v>
      </c>
      <c r="B58" t="s">
        <v>115</v>
      </c>
      <c r="C58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[Ctrl+May+L]</v>
      </c>
    </row>
    <row r="59" spans="1:3" x14ac:dyDescent="0.25">
      <c r="A59" t="s">
        <v>257</v>
      </c>
      <c r="B59" s="33" t="s">
        <v>258</v>
      </c>
      <c r="C59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[Alt+SPACE]</v>
      </c>
    </row>
    <row r="60" spans="1:3" x14ac:dyDescent="0.25">
      <c r="A60" t="s">
        <v>238</v>
      </c>
      <c r="B60" s="32" t="s">
        <v>237</v>
      </c>
      <c r="C60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[May+F2]</v>
      </c>
    </row>
    <row r="61" spans="1:3" x14ac:dyDescent="0.25">
      <c r="A61" t="s">
        <v>208</v>
      </c>
      <c r="B61" t="s">
        <v>209</v>
      </c>
      <c r="C61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[Ctrl+/]</v>
      </c>
    </row>
    <row r="62" spans="1:3" x14ac:dyDescent="0.25">
      <c r="A62" t="s">
        <v>204</v>
      </c>
      <c r="B62" t="s">
        <v>205</v>
      </c>
      <c r="C6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[Alt+Ctrl+%]</v>
      </c>
    </row>
    <row r="63" spans="1:3" x14ac:dyDescent="0.25">
      <c r="A63" t="s">
        <v>202</v>
      </c>
      <c r="B63" t="s">
        <v>203</v>
      </c>
      <c r="C6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[Ctrl+$]</v>
      </c>
    </row>
    <row r="64" spans="1:3" x14ac:dyDescent="0.25">
      <c r="A64" t="s">
        <v>201</v>
      </c>
      <c r="B64" t="s">
        <v>200</v>
      </c>
      <c r="C6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[Ctrl+!]</v>
      </c>
    </row>
    <row r="65" spans="1:3" x14ac:dyDescent="0.25">
      <c r="A65" t="s">
        <v>207</v>
      </c>
      <c r="B65" t="s">
        <v>206</v>
      </c>
      <c r="C6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[Ctrl+&amp;]</v>
      </c>
    </row>
    <row r="66" spans="1:3" x14ac:dyDescent="0.25">
      <c r="A66" t="s">
        <v>251</v>
      </c>
      <c r="B66" s="32" t="s">
        <v>252</v>
      </c>
      <c r="C6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[May+F9]</v>
      </c>
    </row>
    <row r="67" spans="1:3" x14ac:dyDescent="0.25">
      <c r="A67" t="s">
        <v>246</v>
      </c>
      <c r="B67" s="32" t="s">
        <v>245</v>
      </c>
      <c r="C6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[May+F6]</v>
      </c>
    </row>
    <row r="68" spans="1:3" x14ac:dyDescent="0.25">
      <c r="A68" t="s">
        <v>221</v>
      </c>
      <c r="B68" t="s">
        <v>222</v>
      </c>
      <c r="C68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[Ctrl+F4]</v>
      </c>
    </row>
    <row r="69" spans="1:3" x14ac:dyDescent="0.25">
      <c r="A69" t="s">
        <v>159</v>
      </c>
      <c r="B69" t="s">
        <v>160</v>
      </c>
      <c r="C69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[Ctrl+d]</v>
      </c>
    </row>
    <row r="70" spans="1:3" x14ac:dyDescent="0.25">
      <c r="A70" t="s">
        <v>165</v>
      </c>
      <c r="B70" t="s">
        <v>164</v>
      </c>
      <c r="C70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[F11]</v>
      </c>
    </row>
    <row r="71" spans="1:3" x14ac:dyDescent="0.25">
      <c r="A71" t="s">
        <v>241</v>
      </c>
      <c r="B71" s="32" t="s">
        <v>242</v>
      </c>
      <c r="C71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[May+F4]</v>
      </c>
    </row>
    <row r="72" spans="1:3" x14ac:dyDescent="0.25">
      <c r="A72" t="s">
        <v>171</v>
      </c>
      <c r="B72" t="s">
        <v>172</v>
      </c>
      <c r="C7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[Ctrl+g]</v>
      </c>
    </row>
    <row r="73" spans="1:3" x14ac:dyDescent="0.25">
      <c r="A73" t="s">
        <v>253</v>
      </c>
      <c r="B73" s="32" t="s">
        <v>254</v>
      </c>
      <c r="C7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[May+F11]</v>
      </c>
    </row>
    <row r="74" spans="1:3" x14ac:dyDescent="0.25">
      <c r="A74" t="s">
        <v>233</v>
      </c>
      <c r="B74" t="s">
        <v>234</v>
      </c>
      <c r="C7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[Ctrl+F10]</v>
      </c>
    </row>
    <row r="75" spans="1:3" x14ac:dyDescent="0.25">
      <c r="A75" t="s">
        <v>231</v>
      </c>
      <c r="B75" t="s">
        <v>232</v>
      </c>
      <c r="C7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[Ctrl+F9]</v>
      </c>
    </row>
    <row r="76" spans="1:3" x14ac:dyDescent="0.25">
      <c r="A76" t="s">
        <v>161</v>
      </c>
      <c r="B76" t="s">
        <v>162</v>
      </c>
      <c r="C7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[F2]</v>
      </c>
    </row>
    <row r="77" spans="1:3" x14ac:dyDescent="0.25">
      <c r="A77" t="s">
        <v>261</v>
      </c>
      <c r="B77" t="s">
        <v>262</v>
      </c>
      <c r="C7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[Ctrl+May+F6]</v>
      </c>
    </row>
    <row r="78" spans="1:3" x14ac:dyDescent="0.25">
      <c r="A78" t="s">
        <v>225</v>
      </c>
      <c r="B78" t="s">
        <v>226</v>
      </c>
      <c r="C78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[Ctrl+F6]</v>
      </c>
    </row>
    <row r="79" spans="1:3" x14ac:dyDescent="0.25">
      <c r="A79" t="s">
        <v>213</v>
      </c>
      <c r="B79" t="s">
        <v>212</v>
      </c>
      <c r="C79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[Ctrl+)]</v>
      </c>
    </row>
    <row r="80" spans="1:3" x14ac:dyDescent="0.25">
      <c r="A80" t="s">
        <v>166</v>
      </c>
      <c r="B80" t="s">
        <v>167</v>
      </c>
      <c r="C80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[F12]</v>
      </c>
    </row>
    <row r="81" spans="1:3" x14ac:dyDescent="0.25">
      <c r="A81" t="s">
        <v>240</v>
      </c>
      <c r="B81" s="32" t="s">
        <v>239</v>
      </c>
      <c r="C81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[May+F3]</v>
      </c>
    </row>
    <row r="82" spans="1:3" x14ac:dyDescent="0.25">
      <c r="A82" t="s">
        <v>236</v>
      </c>
      <c r="B82" t="s">
        <v>235</v>
      </c>
      <c r="C8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[Ctrl+F12]</v>
      </c>
    </row>
    <row r="83" spans="1:3" x14ac:dyDescent="0.25">
      <c r="A83" t="s">
        <v>243</v>
      </c>
      <c r="B83" s="32" t="s">
        <v>244</v>
      </c>
      <c r="C8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[May+F5]</v>
      </c>
    </row>
    <row r="84" spans="1:3" x14ac:dyDescent="0.25">
      <c r="A84" t="s">
        <v>216</v>
      </c>
      <c r="B84" t="s">
        <v>217</v>
      </c>
      <c r="C8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[Ctrl+-]</v>
      </c>
    </row>
    <row r="85" spans="1:3" x14ac:dyDescent="0.25">
      <c r="A85" t="s">
        <v>260</v>
      </c>
      <c r="B85" s="34" t="s">
        <v>259</v>
      </c>
      <c r="C8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[Alt+']</v>
      </c>
    </row>
    <row r="86" spans="1:3" x14ac:dyDescent="0.25">
      <c r="A86" t="s">
        <v>255</v>
      </c>
      <c r="B86" s="32" t="s">
        <v>256</v>
      </c>
      <c r="C8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[May+F12]</v>
      </c>
    </row>
    <row r="87" spans="1:3" x14ac:dyDescent="0.25">
      <c r="A87" t="s">
        <v>218</v>
      </c>
      <c r="B87" t="s">
        <v>219</v>
      </c>
      <c r="C8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[Ctrl+May++]</v>
      </c>
    </row>
    <row r="88" spans="1:3" x14ac:dyDescent="0.25">
      <c r="A88" t="s">
        <v>247</v>
      </c>
      <c r="B88" s="32" t="s">
        <v>248</v>
      </c>
      <c r="C88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[May+F7]</v>
      </c>
    </row>
    <row r="89" spans="1:3" x14ac:dyDescent="0.25">
      <c r="A89" t="s">
        <v>210</v>
      </c>
      <c r="B89" t="s">
        <v>211</v>
      </c>
      <c r="C89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[Ctrl+(]</v>
      </c>
    </row>
    <row r="90" spans="1:3" x14ac:dyDescent="0.25">
      <c r="A90" t="s">
        <v>249</v>
      </c>
      <c r="B90" s="32" t="s">
        <v>250</v>
      </c>
      <c r="C90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[May+F8]</v>
      </c>
    </row>
    <row r="91" spans="1:3" x14ac:dyDescent="0.25">
      <c r="A91" t="s">
        <v>229</v>
      </c>
      <c r="B91" t="s">
        <v>230</v>
      </c>
      <c r="C91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[Ctrl+F8]</v>
      </c>
    </row>
    <row r="92" spans="1:3" x14ac:dyDescent="0.25">
      <c r="A92" t="s">
        <v>228</v>
      </c>
      <c r="B92" t="s">
        <v>227</v>
      </c>
      <c r="C92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[Ctrl+F7]</v>
      </c>
    </row>
    <row r="93" spans="1:3" x14ac:dyDescent="0.25">
      <c r="A93" s="31" t="s">
        <v>214</v>
      </c>
      <c r="B93" t="s">
        <v>215</v>
      </c>
      <c r="C93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[Ctrl+_]</v>
      </c>
    </row>
    <row r="94" spans="1:3" x14ac:dyDescent="0.25">
      <c r="A94" t="s">
        <v>224</v>
      </c>
      <c r="B94" t="s">
        <v>223</v>
      </c>
      <c r="C94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[Ctrl+F5]</v>
      </c>
    </row>
    <row r="95" spans="1:3" x14ac:dyDescent="0.25">
      <c r="A95" t="s">
        <v>268</v>
      </c>
      <c r="B95" t="s">
        <v>266</v>
      </c>
      <c r="C95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[Alt+Ctrl+RIGHT]</v>
      </c>
    </row>
    <row r="96" spans="1:3" x14ac:dyDescent="0.25">
      <c r="A96" t="s">
        <v>269</v>
      </c>
      <c r="B96" t="s">
        <v>267</v>
      </c>
      <c r="C96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[Alt+Ctrl+LEFT]</v>
      </c>
    </row>
    <row r="97" spans="1:3" x14ac:dyDescent="0.25">
      <c r="A97" t="s">
        <v>157</v>
      </c>
      <c r="B97" t="s">
        <v>156</v>
      </c>
      <c r="C97" t="str">
        <f>IFERROR(IF(Tabla4[[#This Row],[Teclas]]="","","["&amp;IFERROR(REPLACE(SEARCH("%",Tabla4[[#This Row],[Teclas]],1),1,1,"Alt+"),"")&amp;        IFERROR(REPLACE(SEARCH("^",Tabla4[[#This Row],[Teclas]],1),1,1,"Ctrl+"),"")&amp;
                                                                      IFERROR(REPLACE(SEARCH("+",Tabla4[[#This Row],[Teclas]],1),1,1,"May+"),"")&amp;        IF(IFERROR(SEARCH("+",Tabla4[[#This Row],[Teclas]],1),"")&lt;&gt;"",
UPPER(MID(Tabla4[[#This Row],[Teclas]],FIND("{",Tabla4[[#This Row],[Teclas]],1)+1,LEN(Tabla4[[#This Row],[Teclas]])-FIND("{",Tabla4[[#This Row],[Teclas]],1)-1)),
                   MID(Tabla4[[#This Row],[Teclas]],FIND("{",Tabla4[[#This Row],[Teclas]],1)+1,LEN(Tabla4[[#This Row],[Teclas]])-FIND("{",Tabla4[[#This Row],[Teclas]],1)-1))&amp;"]"),"")</f>
        <v>[Ctrl+e]</v>
      </c>
    </row>
  </sheetData>
  <conditionalFormatting sqref="B2:B97">
    <cfRule type="duplicateValues" dxfId="1" priority="1"/>
    <cfRule type="duplicateValues" dxfId="0" priority="19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TABLAS</vt:lpstr>
      <vt:lpstr>PRIMERA</vt:lpstr>
      <vt:lpstr>SEGUNDA</vt:lpstr>
      <vt:lpstr>TERCERA</vt:lpstr>
      <vt:lpstr>Hoja1</vt:lpstr>
      <vt:lpstr>Ninguna</vt:lpstr>
      <vt:lpstr>No_Desact</vt:lpstr>
      <vt:lpstr>TABLAS!Títulos_a_imprimir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Milagros Huerta Gómez de Merodio</dc:creator>
  <cp:lastModifiedBy>Milagros Huerta Gómez de Merodio</cp:lastModifiedBy>
  <cp:lastPrinted>2022-05-13T15:04:00Z</cp:lastPrinted>
  <dcterms:created xsi:type="dcterms:W3CDTF">2021-12-18T08:40:27Z</dcterms:created>
  <dcterms:modified xsi:type="dcterms:W3CDTF">2022-05-13T17:46:21Z</dcterms:modified>
</cp:coreProperties>
</file>